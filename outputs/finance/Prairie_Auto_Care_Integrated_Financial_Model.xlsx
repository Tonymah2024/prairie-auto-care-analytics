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private/var/folders/wp/pbrm3zgn7r3dy_6rz34_hr880000gn/T/pac_xl_h42gnwbx/"/>
    </mc:Choice>
  </mc:AlternateContent>
  <xr:revisionPtr revIDLastSave="0" documentId="13_ncr:1_{B072578E-3AD7-5F4B-8560-82393A24A7CF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README" sheetId="1" r:id="rId1"/>
    <sheet name="Assumptions" sheetId="2" r:id="rId2"/>
    <sheet name="Drivers" sheetId="3" r:id="rId3"/>
    <sheet name="Forecast" sheetId="4" r:id="rId4"/>
    <sheet name="Scenario_Results" sheetId="5" r:id="rId5"/>
    <sheet name="Checks" sheetId="6" r:id="rId6"/>
    <sheet name="Hist_IS" sheetId="7" r:id="rId7"/>
    <sheet name="Hist_BS" sheetId="8" r:id="rId8"/>
    <sheet name="Hist_CF" sheetId="9" r:id="rId9"/>
    <sheet name="Hist_Bal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4" i="10" l="1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AL23" i="9"/>
  <c r="AK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AJ23" i="9" s="1"/>
  <c r="M23" i="9"/>
  <c r="L23" i="9"/>
  <c r="K23" i="9"/>
  <c r="J23" i="9"/>
  <c r="I23" i="9"/>
  <c r="H23" i="9"/>
  <c r="G23" i="9"/>
  <c r="F23" i="9"/>
  <c r="E23" i="9"/>
  <c r="D23" i="9"/>
  <c r="C23" i="9"/>
  <c r="AJ21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AJ19" i="9" s="1"/>
  <c r="K19" i="9"/>
  <c r="J19" i="9"/>
  <c r="I19" i="9"/>
  <c r="H19" i="9"/>
  <c r="G19" i="9"/>
  <c r="F19" i="9"/>
  <c r="E19" i="9"/>
  <c r="D19" i="9"/>
  <c r="C19" i="9"/>
  <c r="AL18" i="9"/>
  <c r="AK18" i="9"/>
  <c r="AJ18" i="9"/>
  <c r="AL17" i="9"/>
  <c r="AK17" i="9"/>
  <c r="AJ17" i="9"/>
  <c r="AL16" i="9"/>
  <c r="AK16" i="9"/>
  <c r="AJ16" i="9"/>
  <c r="AI15" i="9"/>
  <c r="AH15" i="9"/>
  <c r="AG15" i="9"/>
  <c r="AF15" i="9"/>
  <c r="AE15" i="9"/>
  <c r="AD15" i="9"/>
  <c r="AC15" i="9"/>
  <c r="AB15" i="9"/>
  <c r="AL15" i="9" s="1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L14" i="9"/>
  <c r="AK14" i="9"/>
  <c r="AJ14" i="9"/>
  <c r="AI13" i="9"/>
  <c r="AH13" i="9"/>
  <c r="AG13" i="9"/>
  <c r="AG20" i="9" s="1"/>
  <c r="AF13" i="9"/>
  <c r="AF20" i="9" s="1"/>
  <c r="AE13" i="9"/>
  <c r="AE20" i="9" s="1"/>
  <c r="AD13" i="9"/>
  <c r="AD20" i="9" s="1"/>
  <c r="AC13" i="9"/>
  <c r="AC20" i="9" s="1"/>
  <c r="AB13" i="9"/>
  <c r="AB20" i="9" s="1"/>
  <c r="AA13" i="9"/>
  <c r="Z13" i="9"/>
  <c r="Y13" i="9"/>
  <c r="X13" i="9"/>
  <c r="W13" i="9"/>
  <c r="V13" i="9"/>
  <c r="U13" i="9"/>
  <c r="U20" i="9" s="1"/>
  <c r="T13" i="9"/>
  <c r="T20" i="9" s="1"/>
  <c r="S13" i="9"/>
  <c r="S20" i="9" s="1"/>
  <c r="R13" i="9"/>
  <c r="R20" i="9" s="1"/>
  <c r="Q13" i="9"/>
  <c r="Q20" i="9" s="1"/>
  <c r="P13" i="9"/>
  <c r="P20" i="9" s="1"/>
  <c r="O13" i="9"/>
  <c r="N13" i="9"/>
  <c r="M13" i="9"/>
  <c r="L13" i="9"/>
  <c r="K13" i="9"/>
  <c r="J13" i="9"/>
  <c r="I13" i="9"/>
  <c r="I20" i="9" s="1"/>
  <c r="H13" i="9"/>
  <c r="H20" i="9" s="1"/>
  <c r="G13" i="9"/>
  <c r="G20" i="9" s="1"/>
  <c r="F13" i="9"/>
  <c r="F20" i="9" s="1"/>
  <c r="E13" i="9"/>
  <c r="E20" i="9" s="1"/>
  <c r="D13" i="9"/>
  <c r="D20" i="9" s="1"/>
  <c r="C13" i="9"/>
  <c r="AL12" i="9"/>
  <c r="AK12" i="9"/>
  <c r="AJ12" i="9"/>
  <c r="AL11" i="9"/>
  <c r="AK11" i="9"/>
  <c r="AJ11" i="9"/>
  <c r="AL10" i="9"/>
  <c r="AK10" i="9"/>
  <c r="AJ10" i="9"/>
  <c r="AL9" i="9"/>
  <c r="AK9" i="9"/>
  <c r="AJ9" i="9"/>
  <c r="AL8" i="9"/>
  <c r="AK8" i="9"/>
  <c r="AJ8" i="9"/>
  <c r="AL7" i="9"/>
  <c r="AK7" i="9"/>
  <c r="AJ7" i="9"/>
  <c r="AL6" i="9"/>
  <c r="AK6" i="9"/>
  <c r="AJ6" i="9"/>
  <c r="AI31" i="8"/>
  <c r="C64" i="4" s="1"/>
  <c r="AH31" i="8"/>
  <c r="AG31" i="8"/>
  <c r="AF31" i="8"/>
  <c r="AE31" i="8"/>
  <c r="AD31" i="8"/>
  <c r="AC31" i="8"/>
  <c r="AB31" i="8"/>
  <c r="AA31" i="8"/>
  <c r="Z31" i="8"/>
  <c r="AK31" i="8" s="1"/>
  <c r="Y31" i="8"/>
  <c r="X31" i="8"/>
  <c r="W31" i="8"/>
  <c r="V31" i="8"/>
  <c r="U31" i="8"/>
  <c r="T31" i="8"/>
  <c r="S31" i="8"/>
  <c r="R31" i="8"/>
  <c r="Q31" i="8"/>
  <c r="P31" i="8"/>
  <c r="O31" i="8"/>
  <c r="N31" i="8"/>
  <c r="AJ31" i="8" s="1"/>
  <c r="M31" i="8"/>
  <c r="L31" i="8"/>
  <c r="K31" i="8"/>
  <c r="J31" i="8"/>
  <c r="I31" i="8"/>
  <c r="H31" i="8"/>
  <c r="G31" i="8"/>
  <c r="F31" i="8"/>
  <c r="E31" i="8"/>
  <c r="D31" i="8"/>
  <c r="C31" i="8"/>
  <c r="AL30" i="8"/>
  <c r="AK30" i="8"/>
  <c r="AJ30" i="8"/>
  <c r="AL29" i="8"/>
  <c r="AK29" i="8"/>
  <c r="AJ29" i="8"/>
  <c r="AL28" i="8"/>
  <c r="AK28" i="8"/>
  <c r="AJ28" i="8"/>
  <c r="AE27" i="8"/>
  <c r="AE32" i="8" s="1"/>
  <c r="AD27" i="8"/>
  <c r="AD32" i="8" s="1"/>
  <c r="AA27" i="8"/>
  <c r="AA32" i="8" s="1"/>
  <c r="T27" i="8"/>
  <c r="T32" i="8" s="1"/>
  <c r="F27" i="8"/>
  <c r="F32" i="8" s="1"/>
  <c r="AL26" i="8"/>
  <c r="AK26" i="8"/>
  <c r="AJ26" i="8"/>
  <c r="AL25" i="8"/>
  <c r="AI25" i="8"/>
  <c r="C58" i="4" s="1"/>
  <c r="AH25" i="8"/>
  <c r="AH27" i="8" s="1"/>
  <c r="AG25" i="8"/>
  <c r="AG27" i="8" s="1"/>
  <c r="AG32" i="8" s="1"/>
  <c r="AF25" i="8"/>
  <c r="AF27" i="8" s="1"/>
  <c r="AF32" i="8" s="1"/>
  <c r="AE25" i="8"/>
  <c r="AD25" i="8"/>
  <c r="AC25" i="8"/>
  <c r="AC27" i="8" s="1"/>
  <c r="AC32" i="8" s="1"/>
  <c r="AB25" i="8"/>
  <c r="AB27" i="8" s="1"/>
  <c r="AB32" i="8" s="1"/>
  <c r="AA25" i="8"/>
  <c r="Z25" i="8"/>
  <c r="Z27" i="8" s="1"/>
  <c r="Y25" i="8"/>
  <c r="Y27" i="8" s="1"/>
  <c r="Y32" i="8" s="1"/>
  <c r="X25" i="8"/>
  <c r="X27" i="8" s="1"/>
  <c r="X32" i="8" s="1"/>
  <c r="W25" i="8"/>
  <c r="W27" i="8" s="1"/>
  <c r="W32" i="8" s="1"/>
  <c r="V25" i="8"/>
  <c r="V27" i="8" s="1"/>
  <c r="U25" i="8"/>
  <c r="U27" i="8" s="1"/>
  <c r="U32" i="8" s="1"/>
  <c r="T25" i="8"/>
  <c r="S25" i="8"/>
  <c r="S27" i="8" s="1"/>
  <c r="S32" i="8" s="1"/>
  <c r="R25" i="8"/>
  <c r="R27" i="8" s="1"/>
  <c r="R32" i="8" s="1"/>
  <c r="Q25" i="8"/>
  <c r="Q27" i="8" s="1"/>
  <c r="Q32" i="8" s="1"/>
  <c r="P25" i="8"/>
  <c r="P27" i="8" s="1"/>
  <c r="P32" i="8" s="1"/>
  <c r="O25" i="8"/>
  <c r="O27" i="8" s="1"/>
  <c r="O32" i="8" s="1"/>
  <c r="N25" i="8"/>
  <c r="N27" i="8" s="1"/>
  <c r="M25" i="8"/>
  <c r="M27" i="8" s="1"/>
  <c r="M32" i="8" s="1"/>
  <c r="L25" i="8"/>
  <c r="L27" i="8" s="1"/>
  <c r="L32" i="8" s="1"/>
  <c r="K25" i="8"/>
  <c r="K27" i="8" s="1"/>
  <c r="K32" i="8" s="1"/>
  <c r="J25" i="8"/>
  <c r="J27" i="8" s="1"/>
  <c r="I25" i="8"/>
  <c r="I27" i="8" s="1"/>
  <c r="I32" i="8" s="1"/>
  <c r="H25" i="8"/>
  <c r="H27" i="8" s="1"/>
  <c r="H32" i="8" s="1"/>
  <c r="G25" i="8"/>
  <c r="G27" i="8" s="1"/>
  <c r="G32" i="8" s="1"/>
  <c r="F25" i="8"/>
  <c r="E25" i="8"/>
  <c r="E27" i="8" s="1"/>
  <c r="E32" i="8" s="1"/>
  <c r="D25" i="8"/>
  <c r="D27" i="8" s="1"/>
  <c r="D32" i="8" s="1"/>
  <c r="C25" i="8"/>
  <c r="C27" i="8" s="1"/>
  <c r="C32" i="8" s="1"/>
  <c r="AL24" i="8"/>
  <c r="AK24" i="8"/>
  <c r="AJ24" i="8"/>
  <c r="AL23" i="8"/>
  <c r="AK23" i="8"/>
  <c r="AJ23" i="8"/>
  <c r="AL22" i="8"/>
  <c r="AK22" i="8"/>
  <c r="AJ22" i="8"/>
  <c r="AL21" i="8"/>
  <c r="AK21" i="8"/>
  <c r="AJ21" i="8"/>
  <c r="AL20" i="8"/>
  <c r="AK20" i="8"/>
  <c r="AJ20" i="8"/>
  <c r="AL19" i="8"/>
  <c r="AK19" i="8"/>
  <c r="AJ19" i="8"/>
  <c r="AJ17" i="8"/>
  <c r="AI17" i="8"/>
  <c r="AL17" i="8" s="1"/>
  <c r="AH17" i="8"/>
  <c r="AG17" i="8"/>
  <c r="AF17" i="8"/>
  <c r="AE17" i="8"/>
  <c r="AD17" i="8"/>
  <c r="AD18" i="8" s="1"/>
  <c r="AD33" i="8" s="1"/>
  <c r="AC17" i="8"/>
  <c r="AC18" i="8" s="1"/>
  <c r="AC33" i="8" s="1"/>
  <c r="AB17" i="8"/>
  <c r="AB18" i="8" s="1"/>
  <c r="AB33" i="8" s="1"/>
  <c r="AA17" i="8"/>
  <c r="AA18" i="8" s="1"/>
  <c r="Z17" i="8"/>
  <c r="AK17" i="8" s="1"/>
  <c r="Y17" i="8"/>
  <c r="X17" i="8"/>
  <c r="W17" i="8"/>
  <c r="V17" i="8"/>
  <c r="U17" i="8"/>
  <c r="T17" i="8"/>
  <c r="S17" i="8"/>
  <c r="R17" i="8"/>
  <c r="R18" i="8" s="1"/>
  <c r="Q17" i="8"/>
  <c r="Q18" i="8" s="1"/>
  <c r="Q33" i="8" s="1"/>
  <c r="P17" i="8"/>
  <c r="P18" i="8" s="1"/>
  <c r="P33" i="8" s="1"/>
  <c r="O17" i="8"/>
  <c r="O18" i="8" s="1"/>
  <c r="N17" i="8"/>
  <c r="M17" i="8"/>
  <c r="L17" i="8"/>
  <c r="K17" i="8"/>
  <c r="J17" i="8"/>
  <c r="I17" i="8"/>
  <c r="H17" i="8"/>
  <c r="G17" i="8"/>
  <c r="F17" i="8"/>
  <c r="F18" i="8" s="1"/>
  <c r="F33" i="8" s="1"/>
  <c r="E17" i="8"/>
  <c r="E18" i="8" s="1"/>
  <c r="E33" i="8" s="1"/>
  <c r="D17" i="8"/>
  <c r="D18" i="8" s="1"/>
  <c r="D33" i="8" s="1"/>
  <c r="C17" i="8"/>
  <c r="C18" i="8" s="1"/>
  <c r="AL16" i="8"/>
  <c r="AK16" i="8"/>
  <c r="AJ16" i="8"/>
  <c r="AL15" i="8"/>
  <c r="AK15" i="8"/>
  <c r="AJ15" i="8"/>
  <c r="AI14" i="8"/>
  <c r="AI18" i="8" s="1"/>
  <c r="AH14" i="8"/>
  <c r="AH18" i="8" s="1"/>
  <c r="AG14" i="8"/>
  <c r="AG18" i="8" s="1"/>
  <c r="AG33" i="8" s="1"/>
  <c r="AF14" i="8"/>
  <c r="AE14" i="8"/>
  <c r="AE18" i="8" s="1"/>
  <c r="AD14" i="8"/>
  <c r="AC14" i="8"/>
  <c r="AB14" i="8"/>
  <c r="AA14" i="8"/>
  <c r="Z14" i="8"/>
  <c r="Z18" i="8" s="1"/>
  <c r="Y14" i="8"/>
  <c r="Y18" i="8" s="1"/>
  <c r="X14" i="8"/>
  <c r="X18" i="8" s="1"/>
  <c r="W14" i="8"/>
  <c r="W18" i="8" s="1"/>
  <c r="V14" i="8"/>
  <c r="V18" i="8" s="1"/>
  <c r="U14" i="8"/>
  <c r="U18" i="8" s="1"/>
  <c r="U33" i="8" s="1"/>
  <c r="T14" i="8"/>
  <c r="S14" i="8"/>
  <c r="S18" i="8" s="1"/>
  <c r="R14" i="8"/>
  <c r="Q14" i="8"/>
  <c r="P14" i="8"/>
  <c r="O14" i="8"/>
  <c r="N14" i="8"/>
  <c r="N18" i="8" s="1"/>
  <c r="M14" i="8"/>
  <c r="M18" i="8" s="1"/>
  <c r="L14" i="8"/>
  <c r="L18" i="8" s="1"/>
  <c r="K14" i="8"/>
  <c r="K18" i="8" s="1"/>
  <c r="J14" i="8"/>
  <c r="J18" i="8" s="1"/>
  <c r="I14" i="8"/>
  <c r="I18" i="8" s="1"/>
  <c r="I33" i="8" s="1"/>
  <c r="H14" i="8"/>
  <c r="G14" i="8"/>
  <c r="G18" i="8" s="1"/>
  <c r="F14" i="8"/>
  <c r="E14" i="8"/>
  <c r="D14" i="8"/>
  <c r="C14" i="8"/>
  <c r="AL13" i="8"/>
  <c r="AK13" i="8"/>
  <c r="AJ13" i="8"/>
  <c r="AL12" i="8"/>
  <c r="AK12" i="8"/>
  <c r="AJ12" i="8"/>
  <c r="AL11" i="8"/>
  <c r="AK11" i="8"/>
  <c r="AJ11" i="8"/>
  <c r="AL10" i="8"/>
  <c r="AK10" i="8"/>
  <c r="AJ10" i="8"/>
  <c r="AL9" i="8"/>
  <c r="AK9" i="8"/>
  <c r="AJ9" i="8"/>
  <c r="AL8" i="8"/>
  <c r="AK8" i="8"/>
  <c r="AJ8" i="8"/>
  <c r="AL7" i="8"/>
  <c r="AK7" i="8"/>
  <c r="AJ7" i="8"/>
  <c r="AL6" i="8"/>
  <c r="AK6" i="8"/>
  <c r="AJ6" i="8"/>
  <c r="AL33" i="7"/>
  <c r="AK33" i="7"/>
  <c r="AJ33" i="7"/>
  <c r="AL31" i="7"/>
  <c r="AK31" i="7"/>
  <c r="AJ31" i="7"/>
  <c r="AL29" i="7"/>
  <c r="AK29" i="7"/>
  <c r="AJ29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L26" i="7"/>
  <c r="AK26" i="7"/>
  <c r="AJ26" i="7"/>
  <c r="AL25" i="7"/>
  <c r="AK25" i="7"/>
  <c r="AJ25" i="7"/>
  <c r="AL24" i="7"/>
  <c r="AK24" i="7"/>
  <c r="AJ24" i="7"/>
  <c r="AL23" i="7"/>
  <c r="AK23" i="7"/>
  <c r="AJ23" i="7"/>
  <c r="AL22" i="7"/>
  <c r="AK22" i="7"/>
  <c r="AJ22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L19" i="7"/>
  <c r="AK19" i="7"/>
  <c r="AJ19" i="7"/>
  <c r="AL18" i="7"/>
  <c r="AK18" i="7"/>
  <c r="AJ18" i="7"/>
  <c r="AL17" i="7"/>
  <c r="AK17" i="7"/>
  <c r="AJ17" i="7"/>
  <c r="AL16" i="7"/>
  <c r="AK16" i="7"/>
  <c r="AJ16" i="7"/>
  <c r="AL15" i="7"/>
  <c r="AK15" i="7"/>
  <c r="AJ15" i="7"/>
  <c r="AL14" i="7"/>
  <c r="AK14" i="7"/>
  <c r="AJ14" i="7"/>
  <c r="AC13" i="7"/>
  <c r="AA13" i="7"/>
  <c r="Q13" i="7"/>
  <c r="Q21" i="7" s="1"/>
  <c r="Q28" i="7" s="1"/>
  <c r="Q30" i="7" s="1"/>
  <c r="Q32" i="7" s="1"/>
  <c r="Q34" i="7" s="1"/>
  <c r="P13" i="7"/>
  <c r="P21" i="7" s="1"/>
  <c r="O13" i="7"/>
  <c r="AL12" i="7"/>
  <c r="AK12" i="7"/>
  <c r="AJ12" i="7"/>
  <c r="AI11" i="7"/>
  <c r="AI13" i="7" s="1"/>
  <c r="AI21" i="7" s="1"/>
  <c r="AI28" i="7" s="1"/>
  <c r="AI30" i="7" s="1"/>
  <c r="AI32" i="7" s="1"/>
  <c r="AI34" i="7" s="1"/>
  <c r="AH11" i="7"/>
  <c r="AH13" i="7" s="1"/>
  <c r="AG11" i="7"/>
  <c r="AG13" i="7" s="1"/>
  <c r="AG21" i="7" s="1"/>
  <c r="AG28" i="7" s="1"/>
  <c r="AG30" i="7" s="1"/>
  <c r="AG32" i="7" s="1"/>
  <c r="AG34" i="7" s="1"/>
  <c r="AF11" i="7"/>
  <c r="AF13" i="7" s="1"/>
  <c r="AF21" i="7" s="1"/>
  <c r="AF28" i="7" s="1"/>
  <c r="AF30" i="7" s="1"/>
  <c r="AF32" i="7" s="1"/>
  <c r="AF34" i="7" s="1"/>
  <c r="AE11" i="7"/>
  <c r="AE13" i="7" s="1"/>
  <c r="AE21" i="7" s="1"/>
  <c r="AE28" i="7" s="1"/>
  <c r="AE30" i="7" s="1"/>
  <c r="AE32" i="7" s="1"/>
  <c r="AE34" i="7" s="1"/>
  <c r="AD11" i="7"/>
  <c r="AD13" i="7" s="1"/>
  <c r="AC11" i="7"/>
  <c r="AB11" i="7"/>
  <c r="AB13" i="7" s="1"/>
  <c r="AB21" i="7" s="1"/>
  <c r="AB28" i="7" s="1"/>
  <c r="AB30" i="7" s="1"/>
  <c r="AB32" i="7" s="1"/>
  <c r="AB34" i="7" s="1"/>
  <c r="AA11" i="7"/>
  <c r="Z11" i="7"/>
  <c r="Z13" i="7" s="1"/>
  <c r="Y11" i="7"/>
  <c r="Y13" i="7" s="1"/>
  <c r="X11" i="7"/>
  <c r="X13" i="7" s="1"/>
  <c r="X21" i="7" s="1"/>
  <c r="X28" i="7" s="1"/>
  <c r="X30" i="7" s="1"/>
  <c r="X32" i="7" s="1"/>
  <c r="X34" i="7" s="1"/>
  <c r="W11" i="7"/>
  <c r="W13" i="7" s="1"/>
  <c r="W21" i="7" s="1"/>
  <c r="W28" i="7" s="1"/>
  <c r="W30" i="7" s="1"/>
  <c r="W32" i="7" s="1"/>
  <c r="W34" i="7" s="1"/>
  <c r="V11" i="7"/>
  <c r="V13" i="7" s="1"/>
  <c r="U11" i="7"/>
  <c r="U13" i="7" s="1"/>
  <c r="U21" i="7" s="1"/>
  <c r="U28" i="7" s="1"/>
  <c r="U30" i="7" s="1"/>
  <c r="U32" i="7" s="1"/>
  <c r="U34" i="7" s="1"/>
  <c r="T11" i="7"/>
  <c r="T13" i="7" s="1"/>
  <c r="T21" i="7" s="1"/>
  <c r="T28" i="7" s="1"/>
  <c r="T30" i="7" s="1"/>
  <c r="T32" i="7" s="1"/>
  <c r="T34" i="7" s="1"/>
  <c r="S11" i="7"/>
  <c r="S13" i="7" s="1"/>
  <c r="S21" i="7" s="1"/>
  <c r="S28" i="7" s="1"/>
  <c r="S30" i="7" s="1"/>
  <c r="S32" i="7" s="1"/>
  <c r="S34" i="7" s="1"/>
  <c r="R11" i="7"/>
  <c r="Q11" i="7"/>
  <c r="P11" i="7"/>
  <c r="O11" i="7"/>
  <c r="N11" i="7"/>
  <c r="N13" i="7" s="1"/>
  <c r="M11" i="7"/>
  <c r="M13" i="7" s="1"/>
  <c r="L11" i="7"/>
  <c r="L13" i="7" s="1"/>
  <c r="L21" i="7" s="1"/>
  <c r="L28" i="7" s="1"/>
  <c r="L30" i="7" s="1"/>
  <c r="L32" i="7" s="1"/>
  <c r="L34" i="7" s="1"/>
  <c r="K11" i="7"/>
  <c r="K13" i="7" s="1"/>
  <c r="K21" i="7" s="1"/>
  <c r="K28" i="7" s="1"/>
  <c r="K30" i="7" s="1"/>
  <c r="K32" i="7" s="1"/>
  <c r="K34" i="7" s="1"/>
  <c r="J11" i="7"/>
  <c r="J13" i="7" s="1"/>
  <c r="I11" i="7"/>
  <c r="I13" i="7" s="1"/>
  <c r="I21" i="7" s="1"/>
  <c r="I28" i="7" s="1"/>
  <c r="I30" i="7" s="1"/>
  <c r="I32" i="7" s="1"/>
  <c r="I34" i="7" s="1"/>
  <c r="H11" i="7"/>
  <c r="H13" i="7" s="1"/>
  <c r="H21" i="7" s="1"/>
  <c r="H28" i="7" s="1"/>
  <c r="H30" i="7" s="1"/>
  <c r="H32" i="7" s="1"/>
  <c r="H34" i="7" s="1"/>
  <c r="G11" i="7"/>
  <c r="G13" i="7" s="1"/>
  <c r="G21" i="7" s="1"/>
  <c r="G28" i="7" s="1"/>
  <c r="G30" i="7" s="1"/>
  <c r="G32" i="7" s="1"/>
  <c r="G34" i="7" s="1"/>
  <c r="F11" i="7"/>
  <c r="E11" i="7"/>
  <c r="E13" i="7" s="1"/>
  <c r="E21" i="7" s="1"/>
  <c r="E28" i="7" s="1"/>
  <c r="E30" i="7" s="1"/>
  <c r="E32" i="7" s="1"/>
  <c r="E34" i="7" s="1"/>
  <c r="D11" i="7"/>
  <c r="D13" i="7" s="1"/>
  <c r="D21" i="7" s="1"/>
  <c r="D28" i="7" s="1"/>
  <c r="D30" i="7" s="1"/>
  <c r="D32" i="7" s="1"/>
  <c r="D34" i="7" s="1"/>
  <c r="C11" i="7"/>
  <c r="C13" i="7" s="1"/>
  <c r="AL10" i="7"/>
  <c r="AK10" i="7"/>
  <c r="AJ10" i="7"/>
  <c r="AL9" i="7"/>
  <c r="AK9" i="7"/>
  <c r="AJ9" i="7"/>
  <c r="AL8" i="7"/>
  <c r="AK8" i="7"/>
  <c r="AJ8" i="7"/>
  <c r="AL7" i="7"/>
  <c r="AK7" i="7"/>
  <c r="AJ7" i="7"/>
  <c r="AL6" i="7"/>
  <c r="AK6" i="7"/>
  <c r="AJ6" i="7"/>
  <c r="B6" i="6"/>
  <c r="C6" i="6" s="1"/>
  <c r="O118" i="4"/>
  <c r="N118" i="4"/>
  <c r="M118" i="4"/>
  <c r="L118" i="4"/>
  <c r="K118" i="4"/>
  <c r="J118" i="4"/>
  <c r="H118" i="4"/>
  <c r="G118" i="4"/>
  <c r="F118" i="4"/>
  <c r="E118" i="4"/>
  <c r="D118" i="4"/>
  <c r="I117" i="4"/>
  <c r="J117" i="4" s="1"/>
  <c r="K117" i="4" s="1"/>
  <c r="L117" i="4" s="1"/>
  <c r="M117" i="4" s="1"/>
  <c r="N117" i="4" s="1"/>
  <c r="O117" i="4" s="1"/>
  <c r="D117" i="4"/>
  <c r="E117" i="4" s="1"/>
  <c r="F117" i="4" s="1"/>
  <c r="C116" i="4"/>
  <c r="D115" i="4"/>
  <c r="E115" i="4" s="1"/>
  <c r="F115" i="4" s="1"/>
  <c r="C111" i="4"/>
  <c r="O108" i="4"/>
  <c r="N108" i="4"/>
  <c r="L108" i="4"/>
  <c r="K108" i="4"/>
  <c r="I108" i="4"/>
  <c r="H108" i="4"/>
  <c r="F108" i="4"/>
  <c r="E108" i="4"/>
  <c r="C107" i="4"/>
  <c r="D108" i="4" s="1"/>
  <c r="D106" i="4"/>
  <c r="E106" i="4" s="1"/>
  <c r="O98" i="4"/>
  <c r="N98" i="4"/>
  <c r="M98" i="4"/>
  <c r="L98" i="4"/>
  <c r="K98" i="4"/>
  <c r="J98" i="4"/>
  <c r="I98" i="4"/>
  <c r="H98" i="4"/>
  <c r="G98" i="4"/>
  <c r="F98" i="4"/>
  <c r="E98" i="4"/>
  <c r="D98" i="4"/>
  <c r="O91" i="4"/>
  <c r="N91" i="4"/>
  <c r="M91" i="4"/>
  <c r="L91" i="4"/>
  <c r="K91" i="4"/>
  <c r="J91" i="4"/>
  <c r="I91" i="4"/>
  <c r="H91" i="4"/>
  <c r="G91" i="4"/>
  <c r="F91" i="4"/>
  <c r="E91" i="4"/>
  <c r="D91" i="4"/>
  <c r="G89" i="4"/>
  <c r="D77" i="4"/>
  <c r="O76" i="4"/>
  <c r="N76" i="4"/>
  <c r="M76" i="4"/>
  <c r="L76" i="4"/>
  <c r="K76" i="4"/>
  <c r="J76" i="4"/>
  <c r="I76" i="4"/>
  <c r="H76" i="4"/>
  <c r="G76" i="4"/>
  <c r="F76" i="4"/>
  <c r="E76" i="4"/>
  <c r="D76" i="4"/>
  <c r="F63" i="4"/>
  <c r="C63" i="4"/>
  <c r="C62" i="4"/>
  <c r="C61" i="4"/>
  <c r="D61" i="4" s="1"/>
  <c r="E61" i="4" s="1"/>
  <c r="F61" i="4" s="1"/>
  <c r="G61" i="4" s="1"/>
  <c r="C59" i="4"/>
  <c r="C57" i="4"/>
  <c r="C56" i="4"/>
  <c r="C55" i="4"/>
  <c r="C54" i="4"/>
  <c r="C53" i="4"/>
  <c r="C52" i="4"/>
  <c r="C50" i="4"/>
  <c r="C49" i="4"/>
  <c r="C48" i="4"/>
  <c r="D48" i="4" s="1"/>
  <c r="C47" i="4"/>
  <c r="C46" i="4"/>
  <c r="C45" i="4"/>
  <c r="C44" i="4"/>
  <c r="C43" i="4"/>
  <c r="C42" i="4"/>
  <c r="C41" i="4"/>
  <c r="C40" i="4"/>
  <c r="C39" i="4"/>
  <c r="B11" i="6" s="1"/>
  <c r="C11" i="6" s="1"/>
  <c r="D33" i="4"/>
  <c r="D31" i="4"/>
  <c r="D49" i="4" s="1"/>
  <c r="K27" i="4"/>
  <c r="O25" i="4"/>
  <c r="N25" i="4"/>
  <c r="M25" i="4"/>
  <c r="L25" i="4"/>
  <c r="K25" i="4"/>
  <c r="J25" i="4"/>
  <c r="I25" i="4"/>
  <c r="H25" i="4"/>
  <c r="G25" i="4"/>
  <c r="F25" i="4"/>
  <c r="E25" i="4"/>
  <c r="D25" i="4"/>
  <c r="K24" i="4"/>
  <c r="I24" i="4"/>
  <c r="H24" i="4"/>
  <c r="H17" i="2"/>
  <c r="H16" i="2"/>
  <c r="J27" i="4" s="1"/>
  <c r="H15" i="2"/>
  <c r="O10" i="4" s="1"/>
  <c r="H14" i="2"/>
  <c r="H13" i="2"/>
  <c r="H12" i="2"/>
  <c r="H11" i="2"/>
  <c r="H89" i="4" s="1"/>
  <c r="H10" i="2"/>
  <c r="D92" i="4" s="1"/>
  <c r="H9" i="2"/>
  <c r="H8" i="2"/>
  <c r="K97" i="4" s="1"/>
  <c r="P28" i="7" l="1"/>
  <c r="P30" i="7" s="1"/>
  <c r="P32" i="7" s="1"/>
  <c r="P34" i="7" s="1"/>
  <c r="J24" i="4"/>
  <c r="E31" i="4"/>
  <c r="E69" i="4" s="1"/>
  <c r="AJ20" i="7"/>
  <c r="AK20" i="7"/>
  <c r="AL20" i="7"/>
  <c r="AL27" i="7"/>
  <c r="AL31" i="8"/>
  <c r="AK19" i="9"/>
  <c r="J33" i="8"/>
  <c r="G26" i="4"/>
  <c r="K33" i="8"/>
  <c r="H26" i="4"/>
  <c r="AJ27" i="7"/>
  <c r="AK27" i="7"/>
  <c r="L33" i="8"/>
  <c r="X33" i="8"/>
  <c r="AL14" i="8"/>
  <c r="H18" i="8"/>
  <c r="H33" i="8" s="1"/>
  <c r="T18" i="8"/>
  <c r="T33" i="8" s="1"/>
  <c r="AF18" i="8"/>
  <c r="AF33" i="8" s="1"/>
  <c r="V33" i="8"/>
  <c r="R33" i="8"/>
  <c r="L10" i="4"/>
  <c r="I26" i="4"/>
  <c r="D69" i="4"/>
  <c r="M21" i="7"/>
  <c r="M28" i="7" s="1"/>
  <c r="M30" i="7" s="1"/>
  <c r="M32" i="7" s="1"/>
  <c r="M34" i="7" s="1"/>
  <c r="Y21" i="7"/>
  <c r="Y28" i="7" s="1"/>
  <c r="Y30" i="7" s="1"/>
  <c r="Y32" i="7" s="1"/>
  <c r="Y34" i="7" s="1"/>
  <c r="AC21" i="7"/>
  <c r="AC28" i="7" s="1"/>
  <c r="AC30" i="7" s="1"/>
  <c r="AC32" i="7" s="1"/>
  <c r="AC34" i="7" s="1"/>
  <c r="M33" i="8"/>
  <c r="AJ15" i="9"/>
  <c r="AL19" i="9"/>
  <c r="M10" i="4"/>
  <c r="J26" i="4"/>
  <c r="N21" i="7"/>
  <c r="N28" i="7" s="1"/>
  <c r="N30" i="7" s="1"/>
  <c r="N32" i="7" s="1"/>
  <c r="N34" i="7" s="1"/>
  <c r="Z21" i="7"/>
  <c r="Z28" i="7" s="1"/>
  <c r="Z30" i="7" s="1"/>
  <c r="Z32" i="7" s="1"/>
  <c r="Z34" i="7" s="1"/>
  <c r="AI27" i="8"/>
  <c r="J20" i="9"/>
  <c r="V20" i="9"/>
  <c r="AH20" i="9"/>
  <c r="N10" i="4"/>
  <c r="K26" i="4"/>
  <c r="AL11" i="7"/>
  <c r="K20" i="9"/>
  <c r="W20" i="9"/>
  <c r="AI20" i="9"/>
  <c r="L26" i="4"/>
  <c r="J21" i="7"/>
  <c r="J28" i="7" s="1"/>
  <c r="J30" i="7" s="1"/>
  <c r="J32" i="7" s="1"/>
  <c r="J34" i="7" s="1"/>
  <c r="V21" i="7"/>
  <c r="V28" i="7" s="1"/>
  <c r="V30" i="7" s="1"/>
  <c r="V32" i="7" s="1"/>
  <c r="V34" i="7" s="1"/>
  <c r="AH21" i="7"/>
  <c r="AH28" i="7" s="1"/>
  <c r="AH30" i="7" s="1"/>
  <c r="AH32" i="7" s="1"/>
  <c r="AH34" i="7" s="1"/>
  <c r="L20" i="9"/>
  <c r="AK13" i="9"/>
  <c r="N11" i="4"/>
  <c r="D27" i="4"/>
  <c r="M20" i="9"/>
  <c r="Y20" i="9"/>
  <c r="G24" i="4"/>
  <c r="D99" i="4"/>
  <c r="AJ11" i="7"/>
  <c r="AK11" i="7"/>
  <c r="AD21" i="7"/>
  <c r="AD28" i="7" s="1"/>
  <c r="AD30" i="7" s="1"/>
  <c r="AD32" i="7" s="1"/>
  <c r="AD34" i="7" s="1"/>
  <c r="J32" i="8"/>
  <c r="V32" i="8"/>
  <c r="AH32" i="8"/>
  <c r="AH33" i="8" s="1"/>
  <c r="N20" i="9"/>
  <c r="AJ20" i="9" s="1"/>
  <c r="Z20" i="9"/>
  <c r="S33" i="8"/>
  <c r="C20" i="9"/>
  <c r="O20" i="9"/>
  <c r="AA20" i="9"/>
  <c r="AL20" i="9" s="1"/>
  <c r="AK15" i="9"/>
  <c r="P76" i="4"/>
  <c r="J90" i="4"/>
  <c r="I90" i="4"/>
  <c r="H90" i="4"/>
  <c r="F106" i="4"/>
  <c r="F31" i="4"/>
  <c r="D50" i="4"/>
  <c r="E48" i="4"/>
  <c r="O96" i="4"/>
  <c r="F89" i="4"/>
  <c r="N96" i="4"/>
  <c r="E89" i="4"/>
  <c r="M96" i="4"/>
  <c r="D89" i="4"/>
  <c r="K96" i="4"/>
  <c r="N89" i="4"/>
  <c r="I96" i="4"/>
  <c r="L89" i="4"/>
  <c r="H96" i="4"/>
  <c r="G96" i="4"/>
  <c r="F12" i="4"/>
  <c r="G11" i="4"/>
  <c r="H10" i="4"/>
  <c r="O89" i="4"/>
  <c r="M89" i="4"/>
  <c r="D12" i="4"/>
  <c r="E11" i="4"/>
  <c r="F10" i="4"/>
  <c r="K89" i="4"/>
  <c r="O12" i="4"/>
  <c r="D11" i="4"/>
  <c r="E10" i="4"/>
  <c r="L96" i="4"/>
  <c r="J89" i="4"/>
  <c r="J96" i="4"/>
  <c r="I89" i="4"/>
  <c r="M11" i="4"/>
  <c r="K10" i="4"/>
  <c r="J11" i="4"/>
  <c r="H11" i="4"/>
  <c r="N12" i="4"/>
  <c r="L11" i="4"/>
  <c r="J10" i="4"/>
  <c r="L12" i="4"/>
  <c r="F96" i="4"/>
  <c r="M12" i="4"/>
  <c r="K11" i="4"/>
  <c r="I10" i="4"/>
  <c r="E96" i="4"/>
  <c r="G10" i="4"/>
  <c r="K12" i="4"/>
  <c r="D10" i="4"/>
  <c r="D96" i="4"/>
  <c r="I11" i="4"/>
  <c r="J12" i="4"/>
  <c r="F11" i="4"/>
  <c r="I12" i="4"/>
  <c r="D45" i="4"/>
  <c r="G12" i="4"/>
  <c r="H61" i="4"/>
  <c r="G90" i="4"/>
  <c r="O11" i="4"/>
  <c r="E12" i="4"/>
  <c r="H12" i="4"/>
  <c r="O27" i="4"/>
  <c r="D26" i="4"/>
  <c r="P26" i="4" s="1"/>
  <c r="F24" i="4"/>
  <c r="N27" i="4"/>
  <c r="O26" i="4"/>
  <c r="E24" i="4"/>
  <c r="M27" i="4"/>
  <c r="N26" i="4"/>
  <c r="D24" i="4"/>
  <c r="L27" i="4"/>
  <c r="M26" i="4"/>
  <c r="O24" i="4"/>
  <c r="L24" i="4"/>
  <c r="M24" i="4"/>
  <c r="N24" i="4"/>
  <c r="G27" i="4"/>
  <c r="N90" i="4"/>
  <c r="L90" i="4"/>
  <c r="P25" i="4"/>
  <c r="E26" i="4"/>
  <c r="H27" i="4"/>
  <c r="E27" i="4"/>
  <c r="F27" i="4"/>
  <c r="N97" i="4"/>
  <c r="E90" i="4"/>
  <c r="M97" i="4"/>
  <c r="D90" i="4"/>
  <c r="L97" i="4"/>
  <c r="O90" i="4"/>
  <c r="J97" i="4"/>
  <c r="M90" i="4"/>
  <c r="H97" i="4"/>
  <c r="K90" i="4"/>
  <c r="G97" i="4"/>
  <c r="F97" i="4"/>
  <c r="I97" i="4"/>
  <c r="F90" i="4"/>
  <c r="E97" i="4"/>
  <c r="D97" i="4"/>
  <c r="F26" i="4"/>
  <c r="I27" i="4"/>
  <c r="O97" i="4"/>
  <c r="D111" i="4"/>
  <c r="AJ27" i="8"/>
  <c r="N32" i="8"/>
  <c r="AJ32" i="8" s="1"/>
  <c r="AK27" i="8"/>
  <c r="Z32" i="8"/>
  <c r="AK32" i="8" s="1"/>
  <c r="AL13" i="7"/>
  <c r="W33" i="8"/>
  <c r="AL18" i="8"/>
  <c r="AI33" i="8"/>
  <c r="Y33" i="8"/>
  <c r="AJ18" i="8"/>
  <c r="AK18" i="8"/>
  <c r="C51" i="4"/>
  <c r="G33" i="8"/>
  <c r="AE33" i="8"/>
  <c r="C33" i="8"/>
  <c r="O33" i="8"/>
  <c r="AA33" i="8"/>
  <c r="C22" i="9"/>
  <c r="AK20" i="9"/>
  <c r="AJ13" i="9"/>
  <c r="X20" i="9"/>
  <c r="AI32" i="8"/>
  <c r="AL13" i="9"/>
  <c r="F13" i="7"/>
  <c r="F21" i="7" s="1"/>
  <c r="F28" i="7" s="1"/>
  <c r="F30" i="7" s="1"/>
  <c r="F32" i="7" s="1"/>
  <c r="F34" i="7" s="1"/>
  <c r="R13" i="7"/>
  <c r="R21" i="7" s="1"/>
  <c r="R28" i="7" s="1"/>
  <c r="R30" i="7" s="1"/>
  <c r="R32" i="7" s="1"/>
  <c r="R34" i="7" s="1"/>
  <c r="AJ14" i="8"/>
  <c r="AJ25" i="8"/>
  <c r="AK14" i="8"/>
  <c r="AK25" i="8"/>
  <c r="C21" i="7"/>
  <c r="O21" i="7"/>
  <c r="AA21" i="7"/>
  <c r="AL27" i="8" l="1"/>
  <c r="C60" i="4"/>
  <c r="AJ13" i="7"/>
  <c r="E49" i="4"/>
  <c r="F49" i="4" s="1"/>
  <c r="G49" i="4" s="1"/>
  <c r="O28" i="7"/>
  <c r="AK21" i="7"/>
  <c r="G106" i="4"/>
  <c r="G31" i="4"/>
  <c r="G69" i="4" s="1"/>
  <c r="P24" i="4"/>
  <c r="E50" i="4"/>
  <c r="F48" i="4"/>
  <c r="AA28" i="7"/>
  <c r="AL21" i="7"/>
  <c r="C28" i="7"/>
  <c r="AJ21" i="7"/>
  <c r="D21" i="9"/>
  <c r="D22" i="9" s="1"/>
  <c r="C24" i="9"/>
  <c r="P96" i="4"/>
  <c r="D100" i="4"/>
  <c r="AL33" i="8"/>
  <c r="C85" i="4"/>
  <c r="P11" i="4"/>
  <c r="P27" i="4"/>
  <c r="P10" i="4"/>
  <c r="Z33" i="8"/>
  <c r="AK33" i="8" s="1"/>
  <c r="P12" i="4"/>
  <c r="D93" i="4"/>
  <c r="P89" i="4"/>
  <c r="D95" i="4"/>
  <c r="E92" i="4" s="1"/>
  <c r="AL32" i="8"/>
  <c r="C65" i="4"/>
  <c r="AK13" i="7"/>
  <c r="N33" i="8"/>
  <c r="AJ33" i="8" s="1"/>
  <c r="E77" i="4"/>
  <c r="E111" i="4" s="1"/>
  <c r="D57" i="4"/>
  <c r="D59" i="4" s="1"/>
  <c r="I61" i="4"/>
  <c r="E45" i="4"/>
  <c r="F69" i="4"/>
  <c r="B7" i="6" l="1"/>
  <c r="C7" i="6" s="1"/>
  <c r="F45" i="4"/>
  <c r="AL28" i="7"/>
  <c r="AA30" i="7"/>
  <c r="G48" i="4"/>
  <c r="F50" i="4"/>
  <c r="J61" i="4"/>
  <c r="D9" i="4"/>
  <c r="D101" i="4"/>
  <c r="D94" i="4"/>
  <c r="D8" i="4"/>
  <c r="E57" i="4"/>
  <c r="E59" i="4" s="1"/>
  <c r="F77" i="4"/>
  <c r="H31" i="4"/>
  <c r="H106" i="4"/>
  <c r="E93" i="4"/>
  <c r="AJ28" i="7"/>
  <c r="C30" i="7"/>
  <c r="D102" i="4"/>
  <c r="E99" i="4" s="1"/>
  <c r="AK28" i="7"/>
  <c r="O30" i="7"/>
  <c r="E21" i="9"/>
  <c r="E22" i="9" s="1"/>
  <c r="D24" i="9"/>
  <c r="K61" i="4" l="1"/>
  <c r="AK30" i="7"/>
  <c r="O32" i="7"/>
  <c r="G50" i="4"/>
  <c r="H48" i="4"/>
  <c r="AL30" i="7"/>
  <c r="AA32" i="7"/>
  <c r="AJ30" i="7"/>
  <c r="C32" i="7"/>
  <c r="F111" i="4"/>
  <c r="H69" i="4"/>
  <c r="D13" i="4"/>
  <c r="D19" i="4"/>
  <c r="D18" i="4"/>
  <c r="D17" i="4"/>
  <c r="H49" i="4"/>
  <c r="E8" i="4"/>
  <c r="E94" i="4"/>
  <c r="F21" i="9"/>
  <c r="F22" i="9" s="1"/>
  <c r="E24" i="9"/>
  <c r="I106" i="4"/>
  <c r="I31" i="4"/>
  <c r="I69" i="4" s="1"/>
  <c r="E100" i="4"/>
  <c r="D16" i="4"/>
  <c r="G45" i="4"/>
  <c r="E95" i="4"/>
  <c r="F92" i="4" s="1"/>
  <c r="I49" i="4" l="1"/>
  <c r="H45" i="4"/>
  <c r="E101" i="4"/>
  <c r="E9" i="4"/>
  <c r="E102" i="4"/>
  <c r="F99" i="4" s="1"/>
  <c r="D14" i="4"/>
  <c r="D15" i="4"/>
  <c r="J106" i="4"/>
  <c r="J31" i="4"/>
  <c r="J69" i="4" s="1"/>
  <c r="L61" i="4"/>
  <c r="G77" i="4"/>
  <c r="G111" i="4" s="1"/>
  <c r="F57" i="4"/>
  <c r="F59" i="4" s="1"/>
  <c r="C34" i="7"/>
  <c r="AJ34" i="7" s="1"/>
  <c r="AJ32" i="7"/>
  <c r="E18" i="4"/>
  <c r="E43" i="4" s="1"/>
  <c r="D53" i="4"/>
  <c r="AA34" i="7"/>
  <c r="C114" i="4"/>
  <c r="AL32" i="7"/>
  <c r="D42" i="4"/>
  <c r="D43" i="4"/>
  <c r="H50" i="4"/>
  <c r="I48" i="4"/>
  <c r="O34" i="7"/>
  <c r="AK34" i="7" s="1"/>
  <c r="AK32" i="7"/>
  <c r="G21" i="9"/>
  <c r="G22" i="9" s="1"/>
  <c r="F24" i="9"/>
  <c r="F93" i="4"/>
  <c r="J49" i="4" l="1"/>
  <c r="G57" i="4"/>
  <c r="G59" i="4" s="1"/>
  <c r="H77" i="4"/>
  <c r="F94" i="4"/>
  <c r="F8" i="4"/>
  <c r="K106" i="4"/>
  <c r="K31" i="4"/>
  <c r="K49" i="4" s="1"/>
  <c r="C119" i="4"/>
  <c r="AL34" i="7"/>
  <c r="F100" i="4"/>
  <c r="F102" i="4" s="1"/>
  <c r="G99" i="4" s="1"/>
  <c r="E17" i="4"/>
  <c r="H21" i="9"/>
  <c r="H22" i="9" s="1"/>
  <c r="G24" i="9"/>
  <c r="D28" i="4"/>
  <c r="D20" i="4"/>
  <c r="D21" i="4"/>
  <c r="D41" i="4"/>
  <c r="D40" i="4"/>
  <c r="I50" i="4"/>
  <c r="J48" i="4"/>
  <c r="M61" i="4"/>
  <c r="E16" i="4"/>
  <c r="E19" i="4"/>
  <c r="I45" i="4"/>
  <c r="F95" i="4"/>
  <c r="G92" i="4" s="1"/>
  <c r="D71" i="4"/>
  <c r="E13" i="4"/>
  <c r="G93" i="4" l="1"/>
  <c r="E42" i="4"/>
  <c r="F18" i="4"/>
  <c r="F19" i="4"/>
  <c r="F13" i="4"/>
  <c r="F17" i="4"/>
  <c r="F16" i="4"/>
  <c r="E14" i="4"/>
  <c r="E15" i="4"/>
  <c r="J45" i="4"/>
  <c r="I21" i="9"/>
  <c r="I22" i="9" s="1"/>
  <c r="H24" i="9"/>
  <c r="D70" i="4"/>
  <c r="G100" i="4"/>
  <c r="F101" i="4"/>
  <c r="F9" i="4"/>
  <c r="E53" i="4"/>
  <c r="N61" i="4"/>
  <c r="D22" i="4"/>
  <c r="D105" i="4"/>
  <c r="D29" i="4"/>
  <c r="K69" i="4"/>
  <c r="J50" i="4"/>
  <c r="K48" i="4"/>
  <c r="L106" i="4"/>
  <c r="L31" i="4"/>
  <c r="L69" i="4" s="1"/>
  <c r="H111" i="4"/>
  <c r="M106" i="4" l="1"/>
  <c r="M31" i="4"/>
  <c r="M69" i="4" s="1"/>
  <c r="F53" i="4"/>
  <c r="K50" i="4"/>
  <c r="L48" i="4"/>
  <c r="F42" i="4"/>
  <c r="D52" i="4"/>
  <c r="D107" i="4"/>
  <c r="I77" i="4"/>
  <c r="H57" i="4"/>
  <c r="H59" i="4" s="1"/>
  <c r="I111" i="4"/>
  <c r="O61" i="4"/>
  <c r="J21" i="9"/>
  <c r="J22" i="9" s="1"/>
  <c r="I24" i="9"/>
  <c r="F14" i="4"/>
  <c r="F15" i="4" s="1"/>
  <c r="L49" i="4"/>
  <c r="M49" i="4" s="1"/>
  <c r="F43" i="4"/>
  <c r="K45" i="4"/>
  <c r="F71" i="4"/>
  <c r="E71" i="4"/>
  <c r="D44" i="4"/>
  <c r="D23" i="4"/>
  <c r="G101" i="4"/>
  <c r="G9" i="4"/>
  <c r="E20" i="4"/>
  <c r="E28" i="4"/>
  <c r="E21" i="4"/>
  <c r="E41" i="4"/>
  <c r="E40" i="4"/>
  <c r="G8" i="4"/>
  <c r="G94" i="4"/>
  <c r="G102" i="4"/>
  <c r="H99" i="4" s="1"/>
  <c r="G95" i="4"/>
  <c r="H92" i="4" s="1"/>
  <c r="F20" i="4" l="1"/>
  <c r="F21" i="4" s="1"/>
  <c r="F28" i="4"/>
  <c r="F29" i="4" s="1"/>
  <c r="F41" i="4"/>
  <c r="F40" i="4"/>
  <c r="F70" i="4" s="1"/>
  <c r="E29" i="4"/>
  <c r="L45" i="4"/>
  <c r="I57" i="4"/>
  <c r="J77" i="4"/>
  <c r="I59" i="4"/>
  <c r="J111" i="4"/>
  <c r="D73" i="4"/>
  <c r="E105" i="4"/>
  <c r="E22" i="4"/>
  <c r="H100" i="4"/>
  <c r="H93" i="4"/>
  <c r="H95" i="4" s="1"/>
  <c r="I92" i="4" s="1"/>
  <c r="D30" i="4"/>
  <c r="G16" i="4"/>
  <c r="G19" i="4"/>
  <c r="G13" i="4"/>
  <c r="G18" i="4"/>
  <c r="G17" i="4"/>
  <c r="D72" i="4"/>
  <c r="K21" i="9"/>
  <c r="K22" i="9" s="1"/>
  <c r="J24" i="9"/>
  <c r="L50" i="4"/>
  <c r="M48" i="4"/>
  <c r="E70" i="4"/>
  <c r="D46" i="4"/>
  <c r="D54" i="4"/>
  <c r="N106" i="4"/>
  <c r="N31" i="4"/>
  <c r="N69" i="4" s="1"/>
  <c r="I93" i="4" l="1"/>
  <c r="E44" i="4"/>
  <c r="E23" i="4"/>
  <c r="G53" i="4"/>
  <c r="O106" i="4"/>
  <c r="O31" i="4"/>
  <c r="E52" i="4"/>
  <c r="D32" i="4"/>
  <c r="H9" i="4"/>
  <c r="H101" i="4"/>
  <c r="L21" i="9"/>
  <c r="L22" i="9" s="1"/>
  <c r="K24" i="9"/>
  <c r="N49" i="4"/>
  <c r="E107" i="4"/>
  <c r="K77" i="4"/>
  <c r="K111" i="4" s="1"/>
  <c r="J57" i="4"/>
  <c r="J59" i="4" s="1"/>
  <c r="H94" i="4"/>
  <c r="H8" i="4"/>
  <c r="G42" i="4"/>
  <c r="G43" i="4"/>
  <c r="F22" i="4"/>
  <c r="F105" i="4"/>
  <c r="F52" i="4" s="1"/>
  <c r="G14" i="4"/>
  <c r="G15" i="4" s="1"/>
  <c r="H102" i="4"/>
  <c r="I99" i="4" s="1"/>
  <c r="M50" i="4"/>
  <c r="N48" i="4"/>
  <c r="M45" i="4"/>
  <c r="L77" i="4" l="1"/>
  <c r="K57" i="4"/>
  <c r="K59" i="4" s="1"/>
  <c r="H19" i="4"/>
  <c r="H17" i="4"/>
  <c r="H18" i="4"/>
  <c r="H13" i="4"/>
  <c r="O69" i="4"/>
  <c r="P69" i="4" s="1"/>
  <c r="P31" i="4"/>
  <c r="E30" i="4"/>
  <c r="F73" i="4"/>
  <c r="F44" i="4"/>
  <c r="F72" i="4" s="1"/>
  <c r="F23" i="4"/>
  <c r="F30" i="4" s="1"/>
  <c r="F32" i="4" s="1"/>
  <c r="D34" i="4"/>
  <c r="E72" i="4"/>
  <c r="I100" i="4"/>
  <c r="N45" i="4"/>
  <c r="I94" i="4"/>
  <c r="I8" i="4"/>
  <c r="L24" i="9"/>
  <c r="M21" i="9"/>
  <c r="M22" i="9" s="1"/>
  <c r="G20" i="4"/>
  <c r="G41" i="4"/>
  <c r="G28" i="4"/>
  <c r="G40" i="4"/>
  <c r="N50" i="4"/>
  <c r="O48" i="4"/>
  <c r="E73" i="4"/>
  <c r="G71" i="4"/>
  <c r="O49" i="4"/>
  <c r="I95" i="4"/>
  <c r="J92" i="4" s="1"/>
  <c r="H16" i="4"/>
  <c r="F107" i="4"/>
  <c r="E46" i="4"/>
  <c r="E54" i="4"/>
  <c r="O50" i="4" l="1"/>
  <c r="G105" i="4"/>
  <c r="G107" i="4" s="1"/>
  <c r="H42" i="4"/>
  <c r="N21" i="9"/>
  <c r="N22" i="9" s="1"/>
  <c r="M24" i="9"/>
  <c r="H53" i="4"/>
  <c r="H43" i="4"/>
  <c r="D114" i="4"/>
  <c r="D116" i="4" s="1"/>
  <c r="D35" i="4" s="1"/>
  <c r="I18" i="4"/>
  <c r="I43" i="4" s="1"/>
  <c r="I17" i="4"/>
  <c r="I13" i="4"/>
  <c r="F46" i="4"/>
  <c r="G108" i="4"/>
  <c r="F54" i="4"/>
  <c r="O45" i="4"/>
  <c r="G70" i="4"/>
  <c r="G21" i="4"/>
  <c r="G22" i="4" s="1"/>
  <c r="H14" i="4"/>
  <c r="H15" i="4" s="1"/>
  <c r="I101" i="4"/>
  <c r="I16" i="4" s="1"/>
  <c r="I9" i="4"/>
  <c r="I19" i="4" s="1"/>
  <c r="J93" i="4"/>
  <c r="J95" i="4" s="1"/>
  <c r="K92" i="4" s="1"/>
  <c r="I102" i="4"/>
  <c r="J99" i="4" s="1"/>
  <c r="G29" i="4"/>
  <c r="E32" i="4"/>
  <c r="L111" i="4"/>
  <c r="H20" i="4" l="1"/>
  <c r="H41" i="4"/>
  <c r="H28" i="4"/>
  <c r="H21" i="4"/>
  <c r="H40" i="4"/>
  <c r="K93" i="4"/>
  <c r="K95" i="4"/>
  <c r="L92" i="4" s="1"/>
  <c r="I53" i="4"/>
  <c r="I42" i="4"/>
  <c r="I71" i="4" s="1"/>
  <c r="I14" i="4"/>
  <c r="I15" i="4" s="1"/>
  <c r="G46" i="4"/>
  <c r="G54" i="4"/>
  <c r="J94" i="4"/>
  <c r="J8" i="4"/>
  <c r="AJ22" i="9"/>
  <c r="O21" i="9"/>
  <c r="N24" i="9"/>
  <c r="AJ24" i="9" s="1"/>
  <c r="H71" i="4"/>
  <c r="M77" i="4"/>
  <c r="M111" i="4" s="1"/>
  <c r="L57" i="4"/>
  <c r="L59" i="4" s="1"/>
  <c r="G44" i="4"/>
  <c r="G23" i="4"/>
  <c r="G52" i="4"/>
  <c r="D55" i="4"/>
  <c r="D36" i="4"/>
  <c r="J100" i="4"/>
  <c r="J102" i="4" s="1"/>
  <c r="K99" i="4" s="1"/>
  <c r="I20" i="4" l="1"/>
  <c r="I21" i="4"/>
  <c r="I28" i="4"/>
  <c r="I29" i="4" s="1"/>
  <c r="I41" i="4"/>
  <c r="I40" i="4"/>
  <c r="N77" i="4"/>
  <c r="M57" i="4"/>
  <c r="M59" i="4" s="1"/>
  <c r="G30" i="4"/>
  <c r="G72" i="4"/>
  <c r="H70" i="4"/>
  <c r="K100" i="4"/>
  <c r="K102" i="4" s="1"/>
  <c r="L99" i="4" s="1"/>
  <c r="J19" i="4"/>
  <c r="J18" i="4"/>
  <c r="J43" i="4" s="1"/>
  <c r="J17" i="4"/>
  <c r="D119" i="4"/>
  <c r="D63" i="4"/>
  <c r="D68" i="4"/>
  <c r="D74" i="4"/>
  <c r="H29" i="4"/>
  <c r="K94" i="4"/>
  <c r="K8" i="4"/>
  <c r="G73" i="4"/>
  <c r="L93" i="4"/>
  <c r="L95" i="4" s="1"/>
  <c r="M92" i="4" s="1"/>
  <c r="J101" i="4"/>
  <c r="J16" i="4" s="1"/>
  <c r="J9" i="4"/>
  <c r="J13" i="4" s="1"/>
  <c r="O22" i="9"/>
  <c r="AK21" i="9"/>
  <c r="H22" i="4"/>
  <c r="H105" i="4"/>
  <c r="M93" i="4" l="1"/>
  <c r="L100" i="4"/>
  <c r="J53" i="4"/>
  <c r="J14" i="4"/>
  <c r="J15" i="4" s="1"/>
  <c r="P21" i="9"/>
  <c r="P22" i="9" s="1"/>
  <c r="O24" i="9"/>
  <c r="J42" i="4"/>
  <c r="N111" i="4"/>
  <c r="I70" i="4"/>
  <c r="K101" i="4"/>
  <c r="K16" i="4" s="1"/>
  <c r="K9" i="4"/>
  <c r="K17" i="4" s="1"/>
  <c r="L94" i="4"/>
  <c r="L8" i="4"/>
  <c r="G32" i="4"/>
  <c r="D75" i="4"/>
  <c r="H52" i="4"/>
  <c r="H107" i="4"/>
  <c r="H44" i="4"/>
  <c r="H23" i="4"/>
  <c r="K18" i="4"/>
  <c r="K43" i="4" s="1"/>
  <c r="I105" i="4"/>
  <c r="I52" i="4" s="1"/>
  <c r="I22" i="4"/>
  <c r="K19" i="4" l="1"/>
  <c r="K53" i="4"/>
  <c r="K42" i="4"/>
  <c r="J20" i="4"/>
  <c r="J21" i="4"/>
  <c r="J41" i="4"/>
  <c r="J40" i="4"/>
  <c r="J28" i="4"/>
  <c r="L18" i="4"/>
  <c r="L43" i="4" s="1"/>
  <c r="L17" i="4"/>
  <c r="H30" i="4"/>
  <c r="H73" i="4"/>
  <c r="L101" i="4"/>
  <c r="L9" i="4"/>
  <c r="L19" i="4" s="1"/>
  <c r="Q21" i="9"/>
  <c r="Q22" i="9" s="1"/>
  <c r="P24" i="9"/>
  <c r="I44" i="4"/>
  <c r="I23" i="4"/>
  <c r="I30" i="4" s="1"/>
  <c r="I32" i="4" s="1"/>
  <c r="D110" i="4"/>
  <c r="L102" i="4"/>
  <c r="M99" i="4" s="1"/>
  <c r="I107" i="4"/>
  <c r="H46" i="4"/>
  <c r="H54" i="4"/>
  <c r="I73" i="4"/>
  <c r="O77" i="4"/>
  <c r="N57" i="4"/>
  <c r="N59" i="4" s="1"/>
  <c r="K13" i="4"/>
  <c r="K71" i="4"/>
  <c r="J71" i="4"/>
  <c r="M94" i="4"/>
  <c r="M8" i="4"/>
  <c r="L16" i="4"/>
  <c r="H72" i="4"/>
  <c r="M95" i="4"/>
  <c r="N92" i="4" s="1"/>
  <c r="L42" i="4" l="1"/>
  <c r="L53" i="4"/>
  <c r="M18" i="4"/>
  <c r="M43" i="4" s="1"/>
  <c r="J105" i="4"/>
  <c r="J52" i="4" s="1"/>
  <c r="J22" i="4"/>
  <c r="R21" i="9"/>
  <c r="R22" i="9" s="1"/>
  <c r="Q24" i="9"/>
  <c r="M100" i="4"/>
  <c r="J70" i="4"/>
  <c r="J108" i="4"/>
  <c r="I46" i="4"/>
  <c r="I54" i="4"/>
  <c r="N93" i="4"/>
  <c r="N95" i="4"/>
  <c r="O92" i="4" s="1"/>
  <c r="L13" i="4"/>
  <c r="P77" i="4"/>
  <c r="I72" i="4"/>
  <c r="J29" i="4"/>
  <c r="K14" i="4"/>
  <c r="K15" i="4" s="1"/>
  <c r="D78" i="4"/>
  <c r="D79" i="4"/>
  <c r="H32" i="4"/>
  <c r="O111" i="4"/>
  <c r="J107" i="4" l="1"/>
  <c r="M101" i="4"/>
  <c r="M16" i="4" s="1"/>
  <c r="M9" i="4"/>
  <c r="K20" i="4"/>
  <c r="K41" i="4"/>
  <c r="K40" i="4"/>
  <c r="K28" i="4"/>
  <c r="K29" i="4" s="1"/>
  <c r="J73" i="4"/>
  <c r="L14" i="4"/>
  <c r="L15" i="4" s="1"/>
  <c r="O93" i="4"/>
  <c r="O95" i="4" s="1"/>
  <c r="N94" i="4"/>
  <c r="N8" i="4"/>
  <c r="L71" i="4"/>
  <c r="D56" i="4"/>
  <c r="S21" i="9"/>
  <c r="S22" i="9" s="1"/>
  <c r="R24" i="9"/>
  <c r="M102" i="4"/>
  <c r="N99" i="4" s="1"/>
  <c r="O57" i="4"/>
  <c r="O59" i="4" s="1"/>
  <c r="J44" i="4"/>
  <c r="J23" i="4"/>
  <c r="J30" i="4" s="1"/>
  <c r="L20" i="4" l="1"/>
  <c r="L40" i="4"/>
  <c r="L21" i="4"/>
  <c r="L28" i="4"/>
  <c r="L29" i="4" s="1"/>
  <c r="L41" i="4"/>
  <c r="L70" i="4" s="1"/>
  <c r="K70" i="4"/>
  <c r="K105" i="4"/>
  <c r="K52" i="4" s="1"/>
  <c r="J72" i="4"/>
  <c r="M19" i="4"/>
  <c r="M13" i="4"/>
  <c r="M17" i="4"/>
  <c r="M53" i="4"/>
  <c r="O94" i="4"/>
  <c r="O8" i="4"/>
  <c r="P93" i="4"/>
  <c r="N100" i="4"/>
  <c r="N102" i="4" s="1"/>
  <c r="O99" i="4" s="1"/>
  <c r="J54" i="4"/>
  <c r="J46" i="4"/>
  <c r="J32" i="4"/>
  <c r="N18" i="4"/>
  <c r="N43" i="4" s="1"/>
  <c r="K21" i="4"/>
  <c r="K22" i="4" s="1"/>
  <c r="T21" i="9"/>
  <c r="T22" i="9" s="1"/>
  <c r="S24" i="9"/>
  <c r="D80" i="4"/>
  <c r="E33" i="4"/>
  <c r="D58" i="4"/>
  <c r="D60" i="4" s="1"/>
  <c r="K44" i="4" l="1"/>
  <c r="K23" i="4"/>
  <c r="K30" i="4" s="1"/>
  <c r="K32" i="4" s="1"/>
  <c r="O100" i="4"/>
  <c r="O102" i="4" s="1"/>
  <c r="O18" i="4"/>
  <c r="P8" i="4"/>
  <c r="K73" i="4"/>
  <c r="E34" i="4"/>
  <c r="U21" i="9"/>
  <c r="U22" i="9" s="1"/>
  <c r="T24" i="9"/>
  <c r="K107" i="4"/>
  <c r="M14" i="4"/>
  <c r="M15" i="4" s="1"/>
  <c r="L105" i="4"/>
  <c r="L52" i="4" s="1"/>
  <c r="L22" i="4"/>
  <c r="N101" i="4"/>
  <c r="N16" i="4" s="1"/>
  <c r="N9" i="4"/>
  <c r="P94" i="4"/>
  <c r="M42" i="4"/>
  <c r="D62" i="4"/>
  <c r="D81" i="4"/>
  <c r="M20" i="4" l="1"/>
  <c r="M28" i="4"/>
  <c r="M29" i="4" s="1"/>
  <c r="M21" i="4"/>
  <c r="M41" i="4"/>
  <c r="M40" i="4"/>
  <c r="D82" i="4"/>
  <c r="O43" i="4"/>
  <c r="P18" i="4"/>
  <c r="K54" i="4"/>
  <c r="L107" i="4"/>
  <c r="K46" i="4"/>
  <c r="L44" i="4"/>
  <c r="L23" i="4"/>
  <c r="L30" i="4" s="1"/>
  <c r="L32" i="4" s="1"/>
  <c r="V21" i="9"/>
  <c r="V22" i="9" s="1"/>
  <c r="U24" i="9"/>
  <c r="N53" i="4"/>
  <c r="D64" i="4"/>
  <c r="D65" i="4" s="1"/>
  <c r="L73" i="4"/>
  <c r="M71" i="4"/>
  <c r="O101" i="4"/>
  <c r="O9" i="4"/>
  <c r="P100" i="4"/>
  <c r="E114" i="4"/>
  <c r="E116" i="4" s="1"/>
  <c r="E35" i="4" s="1"/>
  <c r="E36" i="4" s="1"/>
  <c r="N13" i="4"/>
  <c r="N19" i="4"/>
  <c r="N17" i="4"/>
  <c r="K72" i="4"/>
  <c r="E119" i="4" l="1"/>
  <c r="E68" i="4"/>
  <c r="E63" i="4"/>
  <c r="N42" i="4"/>
  <c r="M70" i="4"/>
  <c r="W21" i="9"/>
  <c r="W22" i="9" s="1"/>
  <c r="V24" i="9"/>
  <c r="E55" i="4"/>
  <c r="P9" i="4"/>
  <c r="O17" i="4"/>
  <c r="O19" i="4"/>
  <c r="P19" i="4" s="1"/>
  <c r="O13" i="4"/>
  <c r="P101" i="4"/>
  <c r="O16" i="4"/>
  <c r="M22" i="4"/>
  <c r="M105" i="4"/>
  <c r="M52" i="4" s="1"/>
  <c r="L54" i="4"/>
  <c r="M108" i="4"/>
  <c r="P108" i="4" s="1"/>
  <c r="L46" i="4"/>
  <c r="N14" i="4"/>
  <c r="N15" i="4" s="1"/>
  <c r="D39" i="4"/>
  <c r="L72" i="4"/>
  <c r="N20" i="4" l="1"/>
  <c r="N40" i="4"/>
  <c r="N41" i="4"/>
  <c r="N21" i="4"/>
  <c r="N28" i="4"/>
  <c r="N29" i="4" s="1"/>
  <c r="N71" i="4"/>
  <c r="M73" i="4"/>
  <c r="O14" i="4"/>
  <c r="P14" i="4" s="1"/>
  <c r="P13" i="4"/>
  <c r="M44" i="4"/>
  <c r="M23" i="4"/>
  <c r="M30" i="4" s="1"/>
  <c r="M32" i="4" s="1"/>
  <c r="X21" i="9"/>
  <c r="X22" i="9" s="1"/>
  <c r="W24" i="9"/>
  <c r="D86" i="4"/>
  <c r="D47" i="4"/>
  <c r="O53" i="4"/>
  <c r="P16" i="4"/>
  <c r="O42" i="4"/>
  <c r="O71" i="4" s="1"/>
  <c r="P17" i="4"/>
  <c r="E74" i="4"/>
  <c r="M107" i="4"/>
  <c r="E75" i="4"/>
  <c r="E110" i="4" s="1"/>
  <c r="E79" i="4" l="1"/>
  <c r="E78" i="4"/>
  <c r="O15" i="4"/>
  <c r="D51" i="4"/>
  <c r="D85" i="4" s="1"/>
  <c r="D109" i="4"/>
  <c r="M54" i="4"/>
  <c r="M46" i="4"/>
  <c r="N70" i="4"/>
  <c r="X24" i="9"/>
  <c r="Y21" i="9"/>
  <c r="Y22" i="9" s="1"/>
  <c r="M72" i="4"/>
  <c r="P71" i="4"/>
  <c r="N22" i="4"/>
  <c r="N105" i="4"/>
  <c r="N52" i="4" s="1"/>
  <c r="N73" i="4" l="1"/>
  <c r="N107" i="4"/>
  <c r="N44" i="4"/>
  <c r="N23" i="4"/>
  <c r="N30" i="4" s="1"/>
  <c r="N32" i="4" s="1"/>
  <c r="O20" i="4"/>
  <c r="O28" i="4"/>
  <c r="O40" i="4"/>
  <c r="O21" i="4"/>
  <c r="P21" i="4" s="1"/>
  <c r="O41" i="4"/>
  <c r="B44" i="5"/>
  <c r="P15" i="4"/>
  <c r="Z21" i="9"/>
  <c r="Z22" i="9" s="1"/>
  <c r="Y24" i="9"/>
  <c r="E56" i="4"/>
  <c r="E80" i="4" l="1"/>
  <c r="F33" i="4"/>
  <c r="E58" i="4"/>
  <c r="E60" i="4" s="1"/>
  <c r="AA21" i="9"/>
  <c r="Z24" i="9"/>
  <c r="AK24" i="9" s="1"/>
  <c r="AK22" i="9"/>
  <c r="O29" i="4"/>
  <c r="P29" i="4" s="1"/>
  <c r="P28" i="4"/>
  <c r="P20" i="4"/>
  <c r="O22" i="4"/>
  <c r="O105" i="4"/>
  <c r="O107" i="4" s="1"/>
  <c r="N72" i="4"/>
  <c r="N54" i="4"/>
  <c r="N46" i="4"/>
  <c r="B49" i="5"/>
  <c r="O70" i="4"/>
  <c r="P70" i="4" s="1"/>
  <c r="O44" i="4" l="1"/>
  <c r="O72" i="4" s="1"/>
  <c r="P72" i="4" s="1"/>
  <c r="P22" i="4"/>
  <c r="O23" i="4"/>
  <c r="O54" i="4"/>
  <c r="O46" i="4"/>
  <c r="AA22" i="9"/>
  <c r="AL21" i="9"/>
  <c r="F34" i="4"/>
  <c r="E62" i="4"/>
  <c r="E81" i="4"/>
  <c r="O52" i="4"/>
  <c r="P105" i="4"/>
  <c r="O30" i="4" l="1"/>
  <c r="P23" i="4"/>
  <c r="F114" i="4"/>
  <c r="E82" i="4"/>
  <c r="E64" i="4"/>
  <c r="E65" i="4" s="1"/>
  <c r="AB21" i="9"/>
  <c r="AB22" i="9" s="1"/>
  <c r="AA24" i="9"/>
  <c r="O73" i="4"/>
  <c r="P73" i="4" s="1"/>
  <c r="F116" i="4" l="1"/>
  <c r="G115" i="4"/>
  <c r="H115" i="4" s="1"/>
  <c r="I115" i="4" s="1"/>
  <c r="J115" i="4" s="1"/>
  <c r="K115" i="4" s="1"/>
  <c r="L115" i="4" s="1"/>
  <c r="M115" i="4" s="1"/>
  <c r="N115" i="4" s="1"/>
  <c r="O115" i="4" s="1"/>
  <c r="AC21" i="9"/>
  <c r="AC22" i="9" s="1"/>
  <c r="AB24" i="9"/>
  <c r="E39" i="4"/>
  <c r="O32" i="4"/>
  <c r="P30" i="4"/>
  <c r="E86" i="4" l="1"/>
  <c r="E47" i="4"/>
  <c r="AD21" i="9"/>
  <c r="AD22" i="9" s="1"/>
  <c r="AC24" i="9"/>
  <c r="P32" i="4"/>
  <c r="F35" i="4"/>
  <c r="G117" i="4"/>
  <c r="H117" i="4" s="1"/>
  <c r="I118" i="4" s="1"/>
  <c r="P118" i="4" s="1"/>
  <c r="F55" i="4" l="1"/>
  <c r="F36" i="4"/>
  <c r="AE21" i="9"/>
  <c r="AE22" i="9" s="1"/>
  <c r="AD24" i="9"/>
  <c r="E109" i="4"/>
  <c r="E51" i="4"/>
  <c r="E85" i="4" s="1"/>
  <c r="AF21" i="9" l="1"/>
  <c r="AF22" i="9" s="1"/>
  <c r="AE24" i="9"/>
  <c r="F119" i="4"/>
  <c r="F68" i="4"/>
  <c r="F74" i="4"/>
  <c r="F75" i="4" l="1"/>
  <c r="AG21" i="9"/>
  <c r="AG22" i="9" s="1"/>
  <c r="AF24" i="9"/>
  <c r="AH21" i="9" l="1"/>
  <c r="AH22" i="9" s="1"/>
  <c r="AG24" i="9"/>
  <c r="F110" i="4"/>
  <c r="F78" i="4" l="1"/>
  <c r="F79" i="4"/>
  <c r="AI21" i="9"/>
  <c r="AI22" i="9" s="1"/>
  <c r="AH24" i="9"/>
  <c r="AI24" i="9" l="1"/>
  <c r="AL22" i="9"/>
  <c r="F56" i="4"/>
  <c r="F80" i="4" l="1"/>
  <c r="G33" i="4"/>
  <c r="F58" i="4"/>
  <c r="F60" i="4" s="1"/>
  <c r="AL24" i="9"/>
  <c r="B8" i="6"/>
  <c r="C8" i="6" s="1"/>
  <c r="G34" i="4" l="1"/>
  <c r="F62" i="4"/>
  <c r="F81" i="4"/>
  <c r="F82" i="4" l="1"/>
  <c r="F64" i="4"/>
  <c r="F65" i="4" s="1"/>
  <c r="G114" i="4"/>
  <c r="G116" i="4" s="1"/>
  <c r="G35" i="4" s="1"/>
  <c r="G36" i="4" s="1"/>
  <c r="G119" i="4" l="1"/>
  <c r="G68" i="4"/>
  <c r="G63" i="4"/>
  <c r="G55" i="4"/>
  <c r="F39" i="4"/>
  <c r="F86" i="4" l="1"/>
  <c r="F47" i="4"/>
  <c r="G74" i="4"/>
  <c r="G75" i="4" s="1"/>
  <c r="G110" i="4" l="1"/>
  <c r="F51" i="4"/>
  <c r="F85" i="4" s="1"/>
  <c r="F109" i="4"/>
  <c r="G79" i="4" l="1"/>
  <c r="G78" i="4"/>
  <c r="G56" i="4" l="1"/>
  <c r="G80" i="4" l="1"/>
  <c r="H33" i="4"/>
  <c r="H34" i="4" s="1"/>
  <c r="G58" i="4"/>
  <c r="G60" i="4" s="1"/>
  <c r="H114" i="4" l="1"/>
  <c r="H116" i="4" s="1"/>
  <c r="H35" i="4" s="1"/>
  <c r="G62" i="4"/>
  <c r="G81" i="4"/>
  <c r="G82" i="4" l="1"/>
  <c r="H55" i="4"/>
  <c r="G64" i="4"/>
  <c r="G65" i="4" s="1"/>
  <c r="H36" i="4"/>
  <c r="H119" i="4" l="1"/>
  <c r="H68" i="4"/>
  <c r="H63" i="4"/>
  <c r="H74" i="4"/>
  <c r="G39" i="4"/>
  <c r="G47" i="4" l="1"/>
  <c r="G86" i="4"/>
  <c r="H75" i="4"/>
  <c r="G109" i="4" l="1"/>
  <c r="G51" i="4"/>
  <c r="G85" i="4" s="1"/>
  <c r="H110" i="4"/>
  <c r="H78" i="4" l="1"/>
  <c r="H79" i="4"/>
  <c r="H56" i="4" l="1"/>
  <c r="H80" i="4" l="1"/>
  <c r="I33" i="4"/>
  <c r="I34" i="4" s="1"/>
  <c r="H58" i="4"/>
  <c r="H60" i="4" s="1"/>
  <c r="I114" i="4" l="1"/>
  <c r="I116" i="4" s="1"/>
  <c r="I35" i="4" s="1"/>
  <c r="I55" i="4" s="1"/>
  <c r="H62" i="4"/>
  <c r="H81" i="4"/>
  <c r="H82" i="4" l="1"/>
  <c r="H64" i="4"/>
  <c r="H65" i="4" s="1"/>
  <c r="I36" i="4"/>
  <c r="I74" i="4"/>
  <c r="H39" i="4" l="1"/>
  <c r="I119" i="4"/>
  <c r="I68" i="4"/>
  <c r="I75" i="4" s="1"/>
  <c r="I63" i="4"/>
  <c r="I110" i="4" l="1"/>
  <c r="H47" i="4"/>
  <c r="H86" i="4"/>
  <c r="H109" i="4" l="1"/>
  <c r="H51" i="4"/>
  <c r="H85" i="4" s="1"/>
  <c r="I79" i="4"/>
  <c r="I78" i="4"/>
  <c r="I56" i="4" l="1"/>
  <c r="I80" i="4" l="1"/>
  <c r="J33" i="4"/>
  <c r="J34" i="4" s="1"/>
  <c r="I58" i="4"/>
  <c r="I60" i="4" s="1"/>
  <c r="J114" i="4" l="1"/>
  <c r="J116" i="4" s="1"/>
  <c r="J35" i="4" s="1"/>
  <c r="J55" i="4" s="1"/>
  <c r="I62" i="4"/>
  <c r="I81" i="4"/>
  <c r="I82" i="4" s="1"/>
  <c r="I39" i="4" s="1"/>
  <c r="I86" i="4" l="1"/>
  <c r="I47" i="4"/>
  <c r="I64" i="4"/>
  <c r="I65" i="4" s="1"/>
  <c r="J36" i="4"/>
  <c r="J74" i="4"/>
  <c r="J119" i="4" l="1"/>
  <c r="J68" i="4"/>
  <c r="J75" i="4" s="1"/>
  <c r="J63" i="4"/>
  <c r="I109" i="4"/>
  <c r="I51" i="4"/>
  <c r="I85" i="4" s="1"/>
  <c r="J110" i="4" l="1"/>
  <c r="J79" i="4" l="1"/>
  <c r="J78" i="4"/>
  <c r="J56" i="4" l="1"/>
  <c r="J80" i="4" l="1"/>
  <c r="K33" i="4"/>
  <c r="K34" i="4" s="1"/>
  <c r="J58" i="4"/>
  <c r="J60" i="4" s="1"/>
  <c r="K114" i="4" l="1"/>
  <c r="K116" i="4" s="1"/>
  <c r="K35" i="4" s="1"/>
  <c r="K55" i="4" s="1"/>
  <c r="J62" i="4"/>
  <c r="J81" i="4"/>
  <c r="J82" i="4" s="1"/>
  <c r="J39" i="4" s="1"/>
  <c r="J86" i="4" l="1"/>
  <c r="J47" i="4"/>
  <c r="J64" i="4"/>
  <c r="J65" i="4" s="1"/>
  <c r="K36" i="4"/>
  <c r="K74" i="4"/>
  <c r="K119" i="4" l="1"/>
  <c r="K68" i="4"/>
  <c r="K75" i="4" s="1"/>
  <c r="K63" i="4"/>
  <c r="J109" i="4"/>
  <c r="J51" i="4"/>
  <c r="J85" i="4" s="1"/>
  <c r="K110" i="4" l="1"/>
  <c r="K79" i="4" l="1"/>
  <c r="K78" i="4"/>
  <c r="K56" i="4" l="1"/>
  <c r="K80" i="4" l="1"/>
  <c r="L33" i="4"/>
  <c r="L34" i="4" s="1"/>
  <c r="K58" i="4"/>
  <c r="K60" i="4" s="1"/>
  <c r="L114" i="4" l="1"/>
  <c r="L116" i="4" s="1"/>
  <c r="L35" i="4" s="1"/>
  <c r="L55" i="4" s="1"/>
  <c r="K62" i="4"/>
  <c r="K81" i="4"/>
  <c r="K82" i="4" s="1"/>
  <c r="K39" i="4" s="1"/>
  <c r="K64" i="4" l="1"/>
  <c r="K65" i="4" s="1"/>
  <c r="K86" i="4"/>
  <c r="K47" i="4"/>
  <c r="L36" i="4"/>
  <c r="L74" i="4"/>
  <c r="L119" i="4" l="1"/>
  <c r="L68" i="4"/>
  <c r="L75" i="4" s="1"/>
  <c r="L63" i="4"/>
  <c r="K109" i="4"/>
  <c r="K51" i="4"/>
  <c r="K85" i="4" s="1"/>
  <c r="L110" i="4" l="1"/>
  <c r="L78" i="4" l="1"/>
  <c r="L79" i="4"/>
  <c r="L56" i="4" l="1"/>
  <c r="L80" i="4" l="1"/>
  <c r="M33" i="4"/>
  <c r="M34" i="4" s="1"/>
  <c r="L58" i="4"/>
  <c r="L60" i="4" s="1"/>
  <c r="M114" i="4" l="1"/>
  <c r="M116" i="4" s="1"/>
  <c r="M35" i="4" s="1"/>
  <c r="M55" i="4" s="1"/>
  <c r="L62" i="4"/>
  <c r="L81" i="4"/>
  <c r="L82" i="4" s="1"/>
  <c r="L39" i="4" s="1"/>
  <c r="L64" i="4" l="1"/>
  <c r="L65" i="4" s="1"/>
  <c r="L86" i="4"/>
  <c r="L47" i="4"/>
  <c r="M36" i="4"/>
  <c r="M74" i="4"/>
  <c r="L109" i="4" l="1"/>
  <c r="L51" i="4"/>
  <c r="L85" i="4" s="1"/>
  <c r="M119" i="4"/>
  <c r="M68" i="4"/>
  <c r="M75" i="4" s="1"/>
  <c r="M63" i="4"/>
  <c r="M110" i="4" l="1"/>
  <c r="M79" i="4" l="1"/>
  <c r="M78" i="4"/>
  <c r="M56" i="4" l="1"/>
  <c r="M80" i="4" l="1"/>
  <c r="N33" i="4"/>
  <c r="N34" i="4" s="1"/>
  <c r="M58" i="4"/>
  <c r="M60" i="4" s="1"/>
  <c r="N114" i="4" l="1"/>
  <c r="N116" i="4" s="1"/>
  <c r="N35" i="4" s="1"/>
  <c r="N55" i="4" s="1"/>
  <c r="M62" i="4"/>
  <c r="M81" i="4"/>
  <c r="M82" i="4" s="1"/>
  <c r="M39" i="4" s="1"/>
  <c r="M47" i="4" l="1"/>
  <c r="M86" i="4"/>
  <c r="M64" i="4"/>
  <c r="M65" i="4" s="1"/>
  <c r="N36" i="4"/>
  <c r="N74" i="4"/>
  <c r="N119" i="4" l="1"/>
  <c r="N68" i="4"/>
  <c r="N75" i="4" s="1"/>
  <c r="N63" i="4"/>
  <c r="M109" i="4"/>
  <c r="M51" i="4"/>
  <c r="M85" i="4" s="1"/>
  <c r="N110" i="4" l="1"/>
  <c r="N79" i="4" l="1"/>
  <c r="N78" i="4"/>
  <c r="N56" i="4" l="1"/>
  <c r="N80" i="4" l="1"/>
  <c r="O33" i="4"/>
  <c r="N58" i="4"/>
  <c r="N60" i="4" s="1"/>
  <c r="O34" i="4" l="1"/>
  <c r="P33" i="4"/>
  <c r="N62" i="4"/>
  <c r="N81" i="4"/>
  <c r="N82" i="4" s="1"/>
  <c r="N39" i="4" s="1"/>
  <c r="N86" i="4" l="1"/>
  <c r="N47" i="4"/>
  <c r="O114" i="4"/>
  <c r="O116" i="4" s="1"/>
  <c r="O35" i="4" s="1"/>
  <c r="O36" i="4" s="1"/>
  <c r="P34" i="4"/>
  <c r="N64" i="4"/>
  <c r="N65" i="4" s="1"/>
  <c r="O119" i="4" l="1"/>
  <c r="O68" i="4"/>
  <c r="B45" i="5"/>
  <c r="P36" i="4"/>
  <c r="O63" i="4"/>
  <c r="P35" i="4"/>
  <c r="O55" i="4"/>
  <c r="N109" i="4"/>
  <c r="N51" i="4"/>
  <c r="N85" i="4" s="1"/>
  <c r="O74" i="4" l="1"/>
  <c r="P74" i="4" s="1"/>
  <c r="P68" i="4"/>
  <c r="O75" i="4" l="1"/>
  <c r="P75" i="4" l="1"/>
  <c r="O110" i="4"/>
  <c r="O79" i="4" l="1"/>
  <c r="P79" i="4" s="1"/>
  <c r="O78" i="4"/>
  <c r="P78" i="4" l="1"/>
  <c r="O56" i="4"/>
  <c r="O80" i="4" l="1"/>
  <c r="B48" i="5"/>
  <c r="O58" i="4"/>
  <c r="O60" i="4" s="1"/>
  <c r="P80" i="4" l="1"/>
  <c r="O62" i="4"/>
  <c r="O64" i="4" s="1"/>
  <c r="O65" i="4" s="1"/>
  <c r="O81" i="4"/>
  <c r="P81" i="4" l="1"/>
  <c r="O82" i="4"/>
  <c r="P82" i="4" l="1"/>
  <c r="O39" i="4"/>
  <c r="B46" i="5" l="1"/>
  <c r="O47" i="4"/>
  <c r="O86" i="4"/>
  <c r="B10" i="6" s="1"/>
  <c r="C10" i="6" s="1"/>
  <c r="B47" i="5"/>
  <c r="O109" i="4" l="1"/>
  <c r="O51" i="4"/>
  <c r="O85" i="4" s="1"/>
  <c r="B50" i="5" l="1"/>
  <c r="B9" i="6"/>
  <c r="C9" i="6" s="1"/>
  <c r="C12" i="6" s="1"/>
</calcChain>
</file>

<file path=xl/sharedStrings.xml><?xml version="1.0" encoding="utf-8"?>
<sst xmlns="http://schemas.openxmlformats.org/spreadsheetml/2006/main" count="975" uniqueCount="651">
  <si>
    <t>⚠ SIMULATED FINANCIAL INFORMATION - synthetic demonstration accounts of a fictional auto care group, not actual company records. Synthetic data generated for a VisiVault Analytics proof of concept (seed 20240103). Fictional auto care group.</t>
  </si>
  <si>
    <t>Prairie Auto Care Group (fictional) - Integrated Three-Statement Financial Model</t>
  </si>
  <si>
    <t>Developed by VisiVault Analytics Ltd. | October 2026</t>
  </si>
  <si>
    <t>WHAT THIS IS</t>
  </si>
  <si>
    <t>SIMULATED accounts of a FICTIONAL multi-location Calgary collision &amp; car care group, built by double entry from synthetic operational data.</t>
  </si>
  <si>
    <t>Synthetic demonstration data. Not actual Ultimate Car Care Group records. Jan-2024 to Sep-2026 are simulated actuals; Oct-2026 to Sep-2027 are FORECASTS.</t>
  </si>
  <si>
    <t>HOW TO USE</t>
  </si>
  <si>
    <t>1. Assumptions!C4 - choose Conservative / Base / Optimistic / Custom (edit the Custom column freely: efficiency, parts cost, cycle time, volume, margin,</t>
  </si>
  <si>
    <t xml:space="preserve">   collection delays, extra technicians, service-line expansion, opex, prime rate).</t>
  </si>
  <si>
    <t>2. Drivers - edit any blue monthly input (demand and technician capacity in billed hours, staffing plan, leases, opex, capex, loan schedule).</t>
  </si>
  <si>
    <t>3. Forecast - three statements recalculate; the CHECKS rows and the Checks sheet must stay at 0 / TRUE.</t>
  </si>
  <si>
    <t>4. Scenario_Results - stored comparison of the three scenarios and the sensitivity cases.</t>
  </si>
  <si>
    <t>KEY MECHANICS</t>
  </si>
  <si>
    <t>Collision and mechanical revenue are capacity-constrained: billed hours delivered = MIN(demand + backlog, technician capacity x efficiency + limited overtime).</t>
  </si>
  <si>
    <t>A technician-efficiency gain therefore adds revenue only when demand exceeds capacity; otherwise it lowers overtime. Unmet demand waits; part of it is lost.</t>
  </si>
  <si>
    <t>ACCOUNTING POLICIES</t>
  </si>
  <si>
    <t>Revenue is recognised on delivery after quality control (ASPE completed-contract basis). Costs of open jobs (parts, materials, sublet, applied technician labour)</t>
  </si>
  <si>
    <t>are carried in work in progress at cost. Insurer jobs are direct-billed: the customer pays the deductible at pickup, the insurer pays the balance later.</t>
  </si>
  <si>
    <t>Interbranch work is charged at an internal transfer price and eliminated on consolidation.</t>
  </si>
  <si>
    <t>CONVENTIONS</t>
  </si>
  <si>
    <t>CAD. Income-statement and cash-flow lines are signed: income/inflows positive, costs/outflows in (parentheses). Blue-on-yellow cells are inputs; black cells are formulas.</t>
  </si>
  <si>
    <t>Interest is charged on opening balances and the revolver follows a cash-band rule, so the model has no circular references and no balancing plugs.</t>
  </si>
  <si>
    <t>SHEETS</t>
  </si>
  <si>
    <t>Assumptions | Drivers | Forecast | Scenario_Results | Checks | Hist_IS | Hist_BS | Hist_CF | Hist_Balances</t>
  </si>
  <si>
    <t>Forecast assumptions - choose a scenario, or edit the Custom column</t>
  </si>
  <si>
    <t>Blue cells on yellow are inputs. Column H (Active) feeds every forecast formula.</t>
  </si>
  <si>
    <t>Active scenario  &gt;&gt;</t>
  </si>
  <si>
    <t>Base</t>
  </si>
  <si>
    <t>Key</t>
  </si>
  <si>
    <t>Scenario driver</t>
  </si>
  <si>
    <t>Unit</t>
  </si>
  <si>
    <t>Conservative</t>
  </si>
  <si>
    <t>Optimistic</t>
  </si>
  <si>
    <t>Custom</t>
  </si>
  <si>
    <t>Active</t>
  </si>
  <si>
    <t>eff_change</t>
  </si>
  <si>
    <t>Technician efficiency change</t>
  </si>
  <si>
    <t>%</t>
  </si>
  <si>
    <t>parts_cost_change</t>
  </si>
  <si>
    <t>Parts procurement cost change</t>
  </si>
  <si>
    <t>cycle_change</t>
  </si>
  <si>
    <t>Repair cycle-time change</t>
  </si>
  <si>
    <t>appt_change</t>
  </si>
  <si>
    <t>Appointment volume change</t>
  </si>
  <si>
    <t>margin_change</t>
  </si>
  <si>
    <t>Gross-margin improvement (relative)</t>
  </si>
  <si>
    <t>collect_change</t>
  </si>
  <si>
    <t>Receivable collection-delay change</t>
  </si>
  <si>
    <t>hires</t>
  </si>
  <si>
    <t>Additional collision technicians (from Dec-2026)</t>
  </si>
  <si>
    <t>#</t>
  </si>
  <si>
    <t>expansion</t>
  </si>
  <si>
    <t>Detailing &amp; paint-protection expansion</t>
  </si>
  <si>
    <t>opex_change</t>
  </si>
  <si>
    <t>Controllable operating-expense change</t>
  </si>
  <si>
    <t>rate_change</t>
  </si>
  <si>
    <t>Prime-rate change</t>
  </si>
  <si>
    <t>Scenario notes</t>
  </si>
  <si>
    <t>Demand -6%, technician efficiency -3%, parts cost +3%, collections 15% slower, opex +2%, prime +50 bps.</t>
  </si>
  <si>
    <t>Model forecasts of demand and technician capacity, TTM rates and cost ratios, current staffing plan and leases, prime flat.</t>
  </si>
  <si>
    <t>Demand +5%, efficiency +5%, parts cost -2%, cycle time -10%, collections 10% faster, detailing &amp; protection +10%.</t>
  </si>
  <si>
    <t>Calibrated / policy parameter (TTM Oct-2025 to Sep-2026 unless stated)</t>
  </si>
  <si>
    <t>Value</t>
  </si>
  <si>
    <t>rph_coll</t>
  </si>
  <si>
    <t>Collision revenue per billed body &amp; paint hour (incl. parts, materials, sublet)</t>
  </si>
  <si>
    <t>rph_mech</t>
  </si>
  <si>
    <t>Mechanical revenue per billed mechanical hour</t>
  </si>
  <si>
    <t>parts_coll</t>
  </si>
  <si>
    <t>Parts cost / collision revenue</t>
  </si>
  <si>
    <t>parts_mech</t>
  </si>
  <si>
    <t>Parts cost / mechanical revenue</t>
  </si>
  <si>
    <t>parts_oth</t>
  </si>
  <si>
    <t>Parts cost / detailing, glass &amp; other revenue</t>
  </si>
  <si>
    <t>mat_coll</t>
  </si>
  <si>
    <t>Paint &amp; materials cost / collision revenue</t>
  </si>
  <si>
    <t>mat_oth</t>
  </si>
  <si>
    <t>Materials cost / detailing &amp; other revenue</t>
  </si>
  <si>
    <t>sublet_coll</t>
  </si>
  <si>
    <t>Sublet cost / collision revenue</t>
  </si>
  <si>
    <t>sublet_mech</t>
  </si>
  <si>
    <t>Sublet cost / mechanical revenue</t>
  </si>
  <si>
    <t>adj_rate</t>
  </si>
  <si>
    <t>Discounts, short-pays &amp; adjustments / service revenue</t>
  </si>
  <si>
    <t>warranty_ratio</t>
  </si>
  <si>
    <t>Warranty rework parts &amp; sublet / net revenue</t>
  </si>
  <si>
    <t>eff_coll_ttm</t>
  </si>
  <si>
    <t>eff_mech_ttm</t>
  </si>
  <si>
    <t>ot_cost_coll</t>
  </si>
  <si>
    <t>Overtime cost per billed collision hour (x1.5 loaded wage / efficiency)</t>
  </si>
  <si>
    <t>ot_cost_mech</t>
  </si>
  <si>
    <t>Overtime cost per billed mechanical hour</t>
  </si>
  <si>
    <t>ot_share</t>
  </si>
  <si>
    <t>Overtime capacity as share of regular capacity</t>
  </si>
  <si>
    <t>attrition</t>
  </si>
  <si>
    <t>Share of waiting collision backlog lost per month</t>
  </si>
  <si>
    <t>hire_hours</t>
  </si>
  <si>
    <t>Billed hours per month from one added collision technician</t>
  </si>
  <si>
    <t>hire_cost</t>
  </si>
  <si>
    <t>Monthly loaded cost of one added collision technician</t>
  </si>
  <si>
    <t>exp_labour</t>
  </si>
  <si>
    <t>Installer / detailer labour per $ of expanded detailing &amp; protection revenue</t>
  </si>
  <si>
    <t>card_rate</t>
  </si>
  <si>
    <t>Card processing fees / net revenue</t>
  </si>
  <si>
    <t>ins_share</t>
  </si>
  <si>
    <t>Insurer-billed share of net revenue</t>
  </si>
  <si>
    <t>dso_ins</t>
  </si>
  <si>
    <t>Insurer days outstanding (TTM)</t>
  </si>
  <si>
    <t>ar_other_ratio</t>
  </si>
  <si>
    <t>Card &amp; fleet receivables, months of net revenue</t>
  </si>
  <si>
    <t>inv_months</t>
  </si>
  <si>
    <t>Parts inventory, months of parts cost</t>
  </si>
  <si>
    <t>mat_months</t>
  </si>
  <si>
    <t>Materials inventory, months of materials cost</t>
  </si>
  <si>
    <t>wip_days</t>
  </si>
  <si>
    <t>WIP days of cost of sales (TTM)</t>
  </si>
  <si>
    <t>dpo_sup</t>
  </si>
  <si>
    <t>Supplier payment days (parts &amp; materials purchases)</t>
  </si>
  <si>
    <t>vendor_ap_ratio</t>
  </si>
  <si>
    <t>Sublet &amp; vendor payables, months of sublet + taxable opex</t>
  </si>
  <si>
    <t>accrued_ratio</t>
  </si>
  <si>
    <t>Accrued payroll, months of payroll</t>
  </si>
  <si>
    <t>gst</t>
  </si>
  <si>
    <t>GST rate</t>
  </si>
  <si>
    <t>prime</t>
  </si>
  <si>
    <t>Prime rate</t>
  </si>
  <si>
    <t>term_spread</t>
  </si>
  <si>
    <t>Term-loan spread (blended)</t>
  </si>
  <si>
    <t>rev_spread</t>
  </si>
  <si>
    <t>Revolver spread</t>
  </si>
  <si>
    <t>rev_limit</t>
  </si>
  <si>
    <t>Revolver limit</t>
  </si>
  <si>
    <t>min_cash</t>
  </si>
  <si>
    <t>Minimum month-end cash</t>
  </si>
  <si>
    <t>target_cash</t>
  </si>
  <si>
    <t>Target cash after draw</t>
  </si>
  <si>
    <t>repay_above</t>
  </si>
  <si>
    <t>Repay revolver above</t>
  </si>
  <si>
    <t>step</t>
  </si>
  <si>
    <t>Draw/repay increment</t>
  </si>
  <si>
    <t>payout</t>
  </si>
  <si>
    <t>Dividend payout ratio</t>
  </si>
  <si>
    <t>cash_floor</t>
  </si>
  <si>
    <t>Cash floor after dividend</t>
  </si>
  <si>
    <t>new_capex_life</t>
  </si>
  <si>
    <t>Useful life of new capex (months)</t>
  </si>
  <si>
    <t>tax_small</t>
  </si>
  <si>
    <t>Small-business tax rate</t>
  </si>
  <si>
    <t>tax_general</t>
  </si>
  <si>
    <t>General tax rate</t>
  </si>
  <si>
    <t>sbd_limit</t>
  </si>
  <si>
    <t>Small-business limit</t>
  </si>
  <si>
    <t>Monthly drivers (inputs) - demand &amp; capacity from the predictive models, staffing plan, leases, opex plan, capex plan, loan schedule</t>
  </si>
  <si>
    <t>Edit any blue cell; the forecast recalculates. Column C = actual 30-Sep-2026 position (not used by drivers).</t>
  </si>
  <si>
    <t>Line</t>
  </si>
  <si>
    <t>Sep-2026 actual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</si>
  <si>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</si>
  <si>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</si>
  <si>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</si>
  <si>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</si>
  <si>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</si>
  <si>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</si>
  <si>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</si>
  <si>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</si>
  <si>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</si>
  <si>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</si>
  <si>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</si>
  <si>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</si>
  <si>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12-month total</t>
  </si>
  <si>
    <t>dem_coll_base</t>
  </si>
  <si>
    <t>Collision demand - billed body &amp; paint hours (Model 2 RO-volume forecast x hours per RO)</t>
  </si>
  <si>
    <t>dem_mech_base</t>
  </si>
  <si>
    <t>Mechanical demand - billed hours (Model 2)</t>
  </si>
  <si>
    <t>cap_coll_base</t>
  </si>
  <si>
    <t>Collision technician capacity - billed hours (Model 5 x efficiency)</t>
  </si>
  <si>
    <t>cap_mech_base</t>
  </si>
  <si>
    <t>Mechanical technician capacity - billed hours (Model 5 x efficiency)</t>
  </si>
  <si>
    <t>rev_detail_base</t>
  </si>
  <si>
    <t>Detailing revenue (Model 1)</t>
  </si>
  <si>
    <t>rev_glass_base</t>
  </si>
  <si>
    <t>Glass revenue (Model 1)</t>
  </si>
  <si>
    <t>rev_other_base</t>
  </si>
  <si>
    <t>Other services revenue (Model 1)</t>
  </si>
  <si>
    <t>payroll_tech_base</t>
  </si>
  <si>
    <t>Technician payroll - staffing plan, regular &amp; paid-absence hours (TTM same month +3%)</t>
  </si>
  <si>
    <t>staff_d</t>
  </si>
  <si>
    <t>Staff compensation plan</t>
  </si>
  <si>
    <t>occupancy_d</t>
  </si>
  <si>
    <t>Occupancy: lease schedule (+3% Jan) + utilities seasonal</t>
  </si>
  <si>
    <t>marketing_d</t>
  </si>
  <si>
    <t>Marketing plan</t>
  </si>
  <si>
    <t>ga_d</t>
  </si>
  <si>
    <t>General &amp; administrative</t>
  </si>
  <si>
    <t>shopops_d</t>
  </si>
  <si>
    <t>Shop operations excl. card fees</t>
  </si>
  <si>
    <t>taxable_opex</t>
  </si>
  <si>
    <t>GST-taxable operating expenses (ITCs and vendor payables)</t>
  </si>
  <si>
    <t>insurance_exp</t>
  </si>
  <si>
    <t>Insurance expense</t>
  </si>
  <si>
    <t>insurance_premium</t>
  </si>
  <si>
    <t>Insurance premium paid (January)</t>
  </si>
  <si>
    <t>capex_d</t>
  </si>
  <si>
    <t>Capital expenditure plan</t>
  </si>
  <si>
    <t>da_existing</t>
  </si>
  <si>
    <t>Depreciation - existing asset register</t>
  </si>
  <si>
    <t>principal_d</t>
  </si>
  <si>
    <t>Scheduled term-loan principal</t>
  </si>
  <si>
    <t>principal_next12</t>
  </si>
  <si>
    <t>Scheduled principal due within 12 months</t>
  </si>
  <si>
    <t>is_hired</t>
  </si>
  <si>
    <t>Flag: new hires on staff (from Dec-2026)</t>
  </si>
  <si>
    <t>is_jan</t>
  </si>
  <si>
    <t>Flag: January</t>
  </si>
  <si>
    <t>is_mar</t>
  </si>
  <si>
    <t>Flag: March</t>
  </si>
  <si>
    <t>is_dec</t>
  </si>
  <si>
    <t>Flag: December</t>
  </si>
  <si>
    <t>q_start</t>
  </si>
  <si>
    <t>Flag: first month of quarter</t>
  </si>
  <si>
    <t>Integrated 12-month forecast Oct-2026 to Sep-2027 (FORECAST - not historical fact)</t>
  </si>
  <si>
    <t>Every cell in columns D:O is a formula driven by Assumptions (active scenario) and Drivers. Column C links to the historical ledger.</t>
  </si>
  <si>
    <t>INCOME STATEMENT (forecast)</t>
  </si>
  <si>
    <t>rev_collision</t>
  </si>
  <si>
    <t>Collision repair revenue</t>
  </si>
  <si>
    <t>rev_mech</t>
  </si>
  <si>
    <t>Mechanical service revenue</t>
  </si>
  <si>
    <t>rev_detail</t>
  </si>
  <si>
    <t>Detailing revenue</t>
  </si>
  <si>
    <t>rev_glass</t>
  </si>
  <si>
    <t>Glass repair revenue</t>
  </si>
  <si>
    <t>rev_other</t>
  </si>
  <si>
    <t>Other service revenue (PDR, paint protection, ADAS, fees)</t>
  </si>
  <si>
    <t>gross_rev</t>
  </si>
  <si>
    <t>Service revenue</t>
  </si>
  <si>
    <t>adjustments</t>
  </si>
  <si>
    <t>Less: discounts, insurer short-pays &amp; adjustments</t>
  </si>
  <si>
    <t>net_rev</t>
  </si>
  <si>
    <t>Total net revenue</t>
  </si>
  <si>
    <t>labour</t>
  </si>
  <si>
    <t>Technician labour (staffing plan + overtime + hires)</t>
  </si>
  <si>
    <t>parts</t>
  </si>
  <si>
    <t>Parts</t>
  </si>
  <si>
    <t>materials</t>
  </si>
  <si>
    <t>Paint &amp; materials</t>
  </si>
  <si>
    <t>sublet</t>
  </si>
  <si>
    <t>Subcontractor costs (sublet repairs &amp; towing)</t>
  </si>
  <si>
    <t>warranty</t>
  </si>
  <si>
    <t>Warranty rework - parts &amp; sublet</t>
  </si>
  <si>
    <t>margin_uplift</t>
  </si>
  <si>
    <t>Gross-margin initiatives (scenario)</t>
  </si>
  <si>
    <t>cogs</t>
  </si>
  <si>
    <t>Cost of sales</t>
  </si>
  <si>
    <t>gross_profit</t>
  </si>
  <si>
    <t>Gross profit</t>
  </si>
  <si>
    <t>staff</t>
  </si>
  <si>
    <t>Staff compensation</t>
  </si>
  <si>
    <t>occupancy</t>
  </si>
  <si>
    <t>Occupancy (lease schedule, utilities)</t>
  </si>
  <si>
    <t>marketing</t>
  </si>
  <si>
    <t>Marketing &amp; advertising</t>
  </si>
  <si>
    <t>g_and_a</t>
  </si>
  <si>
    <t>shop_ops</t>
  </si>
  <si>
    <t>Shop operations (incl. card fees)</t>
  </si>
  <si>
    <t>opex</t>
  </si>
  <si>
    <t>Operating expenses (before depreciation)</t>
  </si>
  <si>
    <t>ebitda</t>
  </si>
  <si>
    <t>EBITDA</t>
  </si>
  <si>
    <t>da</t>
  </si>
  <si>
    <t>Depreciation</t>
  </si>
  <si>
    <t>ebit</t>
  </si>
  <si>
    <t>Operating income (EBIT)</t>
  </si>
  <si>
    <t>interest</t>
  </si>
  <si>
    <t>Interest expense</t>
  </si>
  <si>
    <t>pbt</t>
  </si>
  <si>
    <t>Income before tax</t>
  </si>
  <si>
    <t>tax</t>
  </si>
  <si>
    <t>Income taxes</t>
  </si>
  <si>
    <t>net_income</t>
  </si>
  <si>
    <t>Net income</t>
  </si>
  <si>
    <t>BALANCE SHEET (forecast; column C = actual 30-Sep-2026 from the general ledger)</t>
  </si>
  <si>
    <t>cash</t>
  </si>
  <si>
    <t>Cash</t>
  </si>
  <si>
    <t>ar_insurer</t>
  </si>
  <si>
    <t>Insurer receivables</t>
  </si>
  <si>
    <t>ar_other</t>
  </si>
  <si>
    <t>Card settlements &amp; fleet receivables</t>
  </si>
  <si>
    <t>inventory</t>
  </si>
  <si>
    <t>Parts inventory</t>
  </si>
  <si>
    <t>materials_inv</t>
  </si>
  <si>
    <t>Paint &amp; detailing materials</t>
  </si>
  <si>
    <t>wip</t>
  </si>
  <si>
    <t>Work in progress - unbilled repair jobs</t>
  </si>
  <si>
    <t>prepaid</t>
  </si>
  <si>
    <t>Prepaid expenses</t>
  </si>
  <si>
    <t>gst_rec</t>
  </si>
  <si>
    <t>GST recoverable</t>
  </si>
  <si>
    <t>current_assets</t>
  </si>
  <si>
    <t>Total current assets</t>
  </si>
  <si>
    <t>ppe_gross</t>
  </si>
  <si>
    <t>Fixed assets at cost</t>
  </si>
  <si>
    <t>acc_dep</t>
  </si>
  <si>
    <t>Accumulated depreciation</t>
  </si>
  <si>
    <t>ppe_net</t>
  </si>
  <si>
    <t>Net fixed assets</t>
  </si>
  <si>
    <t>total_assets</t>
  </si>
  <si>
    <t>TOTAL ASSETS</t>
  </si>
  <si>
    <t>ap</t>
  </si>
  <si>
    <t>Accounts payable (suppliers, sublet &amp; vendors)</t>
  </si>
  <si>
    <t>accrued</t>
  </si>
  <si>
    <t>Accrued payroll</t>
  </si>
  <si>
    <t>gst_pay</t>
  </si>
  <si>
    <t>GST payable</t>
  </si>
  <si>
    <t>tax_payable</t>
  </si>
  <si>
    <t>Income taxes payable</t>
  </si>
  <si>
    <t>revolver</t>
  </si>
  <si>
    <t>Revolving line of credit</t>
  </si>
  <si>
    <t>term_current</t>
  </si>
  <si>
    <t>Current portion of term loans</t>
  </si>
  <si>
    <t>current_liabilities</t>
  </si>
  <si>
    <t>Total current liabilities</t>
  </si>
  <si>
    <t>term_lt</t>
  </si>
  <si>
    <t>Term loans (non-current)</t>
  </si>
  <si>
    <t>total_liabilities</t>
  </si>
  <si>
    <t>TOTAL LIABILITIES</t>
  </si>
  <si>
    <t>share_capital</t>
  </si>
  <si>
    <t>Share capital</t>
  </si>
  <si>
    <t>retained</t>
  </si>
  <si>
    <t>Retained earnings</t>
  </si>
  <si>
    <t>cpe</t>
  </si>
  <si>
    <t>Current-year earnings</t>
  </si>
  <si>
    <t>total_equity</t>
  </si>
  <si>
    <t>TOTAL EQUITY</t>
  </si>
  <si>
    <t>total_le</t>
  </si>
  <si>
    <t>TOTAL LIABILITIES AND EQUITY</t>
  </si>
  <si>
    <t>CASH FLOW STATEMENT (indirect method)</t>
  </si>
  <si>
    <t>cf_ni</t>
  </si>
  <si>
    <t>cf_da</t>
  </si>
  <si>
    <t>d_ar</t>
  </si>
  <si>
    <t>(Increase) decrease in receivables</t>
  </si>
  <si>
    <t>d_inv</t>
  </si>
  <si>
    <t>(Increase) decrease in parts &amp; materials inventory</t>
  </si>
  <si>
    <t>d_wip</t>
  </si>
  <si>
    <t>(Increase) decrease in work in progress</t>
  </si>
  <si>
    <t>d_ap</t>
  </si>
  <si>
    <t>Increase (decrease) in supplier &amp; vendor payables</t>
  </si>
  <si>
    <t>d_other</t>
  </si>
  <si>
    <t>Other working capital (prepaid, accrued payroll, GST, tax)</t>
  </si>
  <si>
    <t>cfo</t>
  </si>
  <si>
    <t>Net cash from operating activities</t>
  </si>
  <si>
    <t>cfi</t>
  </si>
  <si>
    <t>Capital expenditures</t>
  </si>
  <si>
    <t>term_repay</t>
  </si>
  <si>
    <t>Term-loan principal repayments</t>
  </si>
  <si>
    <t>rev_draw</t>
  </si>
  <si>
    <t>Borrowings (revolver draws)</t>
  </si>
  <si>
    <t>rev_repay</t>
  </si>
  <si>
    <t>Revolver repayments</t>
  </si>
  <si>
    <t>dividends</t>
  </si>
  <si>
    <t>Dividends paid</t>
  </si>
  <si>
    <t>cff</t>
  </si>
  <si>
    <t>Net cash from (used in) financing activities</t>
  </si>
  <si>
    <t>net_change</t>
  </si>
  <si>
    <t>Net change in cash</t>
  </si>
  <si>
    <t>CHECKS</t>
  </si>
  <si>
    <t>check_bs</t>
  </si>
  <si>
    <t>Check: assets - liabilities - equity (must be 0)</t>
  </si>
  <si>
    <t>check_cash</t>
  </si>
  <si>
    <t>Check: ending cash - (opening cash + net change) (must be 0)</t>
  </si>
  <si>
    <t>CAPACITY - collision &amp; mechanical billed hours (demand vs technician capacity)</t>
  </si>
  <si>
    <t>coll_dem</t>
  </si>
  <si>
    <t>Collision demand - billed body &amp; paint hours (forecast x volume change)</t>
  </si>
  <si>
    <t>coll_cap</t>
  </si>
  <si>
    <t>Collision regular capacity - billed hours (capacity x efficiency + hires)</t>
  </si>
  <si>
    <t>coll_ot_cap</t>
  </si>
  <si>
    <t>Collision overtime capacity - billed hours</t>
  </si>
  <si>
    <t>coll_queue</t>
  </si>
  <si>
    <t>Collision backlog carried in - billed hours</t>
  </si>
  <si>
    <t>coll_hours</t>
  </si>
  <si>
    <t>Collision billed hours delivered</t>
  </si>
  <si>
    <t>coll_ot</t>
  </si>
  <si>
    <t>Collision overtime used - billed hours</t>
  </si>
  <si>
    <t>coll_backlog</t>
  </si>
  <si>
    <t>Collision backlog waiting at month end - billed hours</t>
  </si>
  <si>
    <t>mech_dem</t>
  </si>
  <si>
    <t>Mechanical demand - billed hours</t>
  </si>
  <si>
    <t>mech_cap</t>
  </si>
  <si>
    <t>Mechanical regular capacity - billed hours</t>
  </si>
  <si>
    <t>mech_ot_cap</t>
  </si>
  <si>
    <t>Mechanical overtime capacity - billed hours</t>
  </si>
  <si>
    <t>mech_queue</t>
  </si>
  <si>
    <t>Mechanical backlog carried in - billed hours</t>
  </si>
  <si>
    <t>mech_hours</t>
  </si>
  <si>
    <t>Mechanical billed hours delivered</t>
  </si>
  <si>
    <t>mech_ot</t>
  </si>
  <si>
    <t>Mechanical overtime used - billed hours</t>
  </si>
  <si>
    <t>mech_backlog</t>
  </si>
  <si>
    <t>Mechanical backlog waiting at month end - billed hours</t>
  </si>
  <si>
    <t>SUPPORTING SCHEDULES - purchases, capex &amp; working capital</t>
  </si>
  <si>
    <t>purchases</t>
  </si>
  <si>
    <t>Parts &amp; materials purchases at cost (memo)</t>
  </si>
  <si>
    <t>capex_cum</t>
  </si>
  <si>
    <t>Cumulative new capex (memo)</t>
  </si>
  <si>
    <t>gst_net</t>
  </si>
  <si>
    <t>Net GST payable / (recoverable) (memo)</t>
  </si>
  <si>
    <t>gst_remit</t>
  </si>
  <si>
    <t>GST remitted for prior quarter (memo)</t>
  </si>
  <si>
    <t>working_capital</t>
  </si>
  <si>
    <t>Working capital (memo)</t>
  </si>
  <si>
    <t>pre_cash</t>
  </si>
  <si>
    <t>Cash before revolver (memo)</t>
  </si>
  <si>
    <t>term_loan</t>
  </si>
  <si>
    <t>Term-loan balance (memo)</t>
  </si>
  <si>
    <t>SUPPORTING SCHEDULES - tax &amp; dividends</t>
  </si>
  <si>
    <t>ytd_pbt</t>
  </si>
  <si>
    <t>Fiscal YTD income before tax (memo)</t>
  </si>
  <si>
    <t>lcf</t>
  </si>
  <si>
    <t>Loss carry-forward at 1 January (memo)</t>
  </si>
  <si>
    <t>tax_ytd</t>
  </si>
  <si>
    <t>Fiscal YTD income tax (memo)</t>
  </si>
  <si>
    <t>prior_tax</t>
  </si>
  <si>
    <t>Prior-year tax awaiting payment (memo)</t>
  </si>
  <si>
    <t>tax_paid</t>
  </si>
  <si>
    <t>Income tax paid (memo)</t>
  </si>
  <si>
    <t>ytd_ni</t>
  </si>
  <si>
    <t>Fiscal YTD net income (memo)</t>
  </si>
  <si>
    <t>Scenario comparison and sensitivity analysis (values computed by the Python engine at build time)</t>
  </si>
  <si>
    <t>The Forecast sheet recalculates live for the scenario selected on Assumptions; this sheet stores all three for comparison.</t>
  </si>
  <si>
    <t>net_revenue</t>
  </si>
  <si>
    <t>gross_margin_pct</t>
  </si>
  <si>
    <t>operating_profit</t>
  </si>
  <si>
    <t>net_margin_pct</t>
  </si>
  <si>
    <t>closing_cash</t>
  </si>
  <si>
    <t>peak_revolver</t>
  </si>
  <si>
    <t>closing_working_capital</t>
  </si>
  <si>
    <t>closing_wip</t>
  </si>
  <si>
    <t>closing_insurer_ar</t>
  </si>
  <si>
    <t>collision_hours</t>
  </si>
  <si>
    <t>collision_overtime_hours</t>
  </si>
  <si>
    <t>collision_unmet_hours</t>
  </si>
  <si>
    <t>mechanical_hours</t>
  </si>
  <si>
    <t>max_abs_bs_check</t>
  </si>
  <si>
    <t>max_abs_cash_check</t>
  </si>
  <si>
    <t>Sensitivity analysis (one driver at a time vs Base)</t>
  </si>
  <si>
    <t>scenario</t>
  </si>
  <si>
    <t>driver</t>
  </si>
  <si>
    <t>value</t>
  </si>
  <si>
    <t>delta_net_revenue</t>
  </si>
  <si>
    <t>delta_gross_profit</t>
  </si>
  <si>
    <t>delta_operating_profit</t>
  </si>
  <si>
    <t>delta_net_income</t>
  </si>
  <si>
    <t>delta_cfo</t>
  </si>
  <si>
    <t>delta_closing_cash</t>
  </si>
  <si>
    <t>delta_working_capital</t>
  </si>
  <si>
    <t>delta_collision_hours</t>
  </si>
  <si>
    <t>delta_overtime_hours</t>
  </si>
  <si>
    <t>10% improvement in technician efficiency</t>
  </si>
  <si>
    <t>5% reduction in parts procurement costs</t>
  </si>
  <si>
    <t>15% reduction in average repair cycle time</t>
  </si>
  <si>
    <t>10% increase in appointment volume</t>
  </si>
  <si>
    <t>5% improvement in gross margin</t>
  </si>
  <si>
    <t>20% reduction in receivables collection delays</t>
  </si>
  <si>
    <t>Hire 2 additional collision technicians</t>
  </si>
  <si>
    <t>25% expansion of detailing &amp; paint protection</t>
  </si>
  <si>
    <t>Operating expenses -5%</t>
  </si>
  <si>
    <t>Prime rate +100 bps</t>
  </si>
  <si>
    <t>LIVE: active scenario (formulas on the Forecast sheet)</t>
  </si>
  <si>
    <t>Net revenue</t>
  </si>
  <si>
    <t>Closing cash Sep-2027</t>
  </si>
  <si>
    <t>Peak revolver</t>
  </si>
  <si>
    <t>Insurer receivables Sep-2027</t>
  </si>
  <si>
    <t>Max |balance-sheet check|</t>
  </si>
  <si>
    <t>Model integrity checks (live formulas - every value must be 0 / TRUE)</t>
  </si>
  <si>
    <t>Check</t>
  </si>
  <si>
    <t>Pass?</t>
  </si>
  <si>
    <t>Trial balance: max |sum of account balances| (Dec-2023 to Sep-2026)</t>
  </si>
  <si>
    <t>Historical balance sheet: max |assets - liabilities - equity|</t>
  </si>
  <si>
    <t>Historical cash flow: max |closing cash - balance-sheet cash|</t>
  </si>
  <si>
    <t>Forecast balance sheet: max |assets - liabilities - equity|</t>
  </si>
  <si>
    <t>Forecast cash flow: max |closing cash - balance-sheet cash|</t>
  </si>
  <si>
    <t>Forecast opening cash = historical closing cash (Sep-2026)</t>
  </si>
  <si>
    <t>ALL CHECKS PASS</t>
  </si>
  <si>
    <t>Historical income statements - consolidated, interbranch eliminated (CAD)</t>
  </si>
  <si>
    <t>Monthly values from the general ledger; subtotal rows are live formulas. FY columns sum the months.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</si>
  <si>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</si>
  <si>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</si>
  <si>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</si>
  <si>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</si>
  <si>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</si>
  <si>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</si>
  <si>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</si>
  <si>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</si>
  <si>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</si>
  <si>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</si>
  <si>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</si>
  <si>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</si>
  <si>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</si>
  <si>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</si>
  <si>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</si>
  <si>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</si>
  <si>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</si>
  <si>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</si>
  <si>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</si>
  <si>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</si>
  <si>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</si>
  <si>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</si>
  <si>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</si>
  <si>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</si>
  <si>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</si>
  <si>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</si>
  <si>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</si>
  <si>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</si>
  <si>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</si>
  <si>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</si>
  <si>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</si>
  <si>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</si>
  <si>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</si>
  <si>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FY2024</t>
  </si>
  <si>
    <t>FY2025</t>
  </si>
  <si>
    <t>YTD Sep-2026</t>
  </si>
  <si>
    <t>Technician labour (wages, overtime &amp; burden)</t>
  </si>
  <si>
    <t>Inventory adjustments &amp; obsolescence</t>
  </si>
  <si>
    <t>inv_adj</t>
  </si>
  <si>
    <t>Staff compensation (branch &amp; group)</t>
  </si>
  <si>
    <t>Occupancy (rent, CAM &amp; property tax, utilities)</t>
  </si>
  <si>
    <t>General &amp; administrative (insurance, professional, software, network, training)</t>
  </si>
  <si>
    <t>Shop operations (supplies, maintenance, courtesy vehicles, courier &amp; waste, card fees)</t>
  </si>
  <si>
    <t>Historical balance sheets - month end (CAD)</t>
  </si>
  <si>
    <t>Insurer receivables (direct billing)</t>
  </si>
  <si>
    <t>Parts inventory (stocked &amp; special-order)</t>
  </si>
  <si>
    <t>Work in progress - unbilled repair jobs (at cost)</t>
  </si>
  <si>
    <t>Check: assets - liabilities - equity</t>
  </si>
  <si>
    <t>check</t>
  </si>
  <si>
    <t>Historical cash flow statements - indirect method (CAD)</t>
  </si>
  <si>
    <t>(Increase) decrease in receivables (insurer, fleet, card)</t>
  </si>
  <si>
    <t>capex</t>
  </si>
  <si>
    <t>Net cash used in investing activities</t>
  </si>
  <si>
    <t>Borrowings (equipment loan &amp; revolver draws)</t>
  </si>
  <si>
    <t>borrowings</t>
  </si>
  <si>
    <t>Debt repayments (loan principal &amp; revolver)</t>
  </si>
  <si>
    <t>repayments</t>
  </si>
  <si>
    <t>Opening cash</t>
  </si>
  <si>
    <t>open_cash</t>
  </si>
  <si>
    <t>Ending cash balance</t>
  </si>
  <si>
    <t>close_cash</t>
  </si>
  <si>
    <t>Cash per balance sheet</t>
  </si>
  <si>
    <t>bs_cash</t>
  </si>
  <si>
    <t>Check: ending cash - balance-sheet cash</t>
  </si>
  <si>
    <t>Month-end account balances from the general ledger (debit +, credit -)</t>
  </si>
  <si>
    <t>Post-closing at year ends. Each column must sum to zero (trial balance).</t>
  </si>
  <si>
    <t>Account</t>
  </si>
  <si>
    <t>Name</t>
  </si>
  <si>
    <t>2023-12</t>
  </si>
  <si>
    <t>1000</t>
  </si>
  <si>
    <t>Cash - operating account</t>
  </si>
  <si>
    <t>1100</t>
  </si>
  <si>
    <t>Card &amp; debit processor receivable</t>
  </si>
  <si>
    <t>1110</t>
  </si>
  <si>
    <t>1120</t>
  </si>
  <si>
    <t>Fleet &amp; commercial account receivables</t>
  </si>
  <si>
    <t>1200</t>
  </si>
  <si>
    <t>Parts inventory - stocked</t>
  </si>
  <si>
    <t>1210</t>
  </si>
  <si>
    <t>Special-order parts received for open jobs</t>
  </si>
  <si>
    <t>1220</t>
  </si>
  <si>
    <t>Paint, refinish &amp; detailing materials</t>
  </si>
  <si>
    <t>1250</t>
  </si>
  <si>
    <t>1300</t>
  </si>
  <si>
    <t>1400</t>
  </si>
  <si>
    <t>GST input tax credits</t>
  </si>
  <si>
    <t>1500</t>
  </si>
  <si>
    <t>Leasehold improvements</t>
  </si>
  <si>
    <t>1510</t>
  </si>
  <si>
    <t>Shop equipment (paint booths, frame machines, lifts)</t>
  </si>
  <si>
    <t>1520</t>
  </si>
  <si>
    <t>Diagnostic, ADAS calibration &amp; IT equipment</t>
  </si>
  <si>
    <t>1530</t>
  </si>
  <si>
    <t>Vehicles (shuttle &amp; courtesy)</t>
  </si>
  <si>
    <t>1590</t>
  </si>
  <si>
    <t>2000</t>
  </si>
  <si>
    <t>Accounts payable - parts &amp; materials suppliers</t>
  </si>
  <si>
    <t>2010</t>
  </si>
  <si>
    <t>Accounts payable - sublet &amp; operating vendors</t>
  </si>
  <si>
    <t>2100</t>
  </si>
  <si>
    <t>2300</t>
  </si>
  <si>
    <t>GST collected</t>
  </si>
  <si>
    <t>2400</t>
  </si>
  <si>
    <t>Income tax payable</t>
  </si>
  <si>
    <t>2600</t>
  </si>
  <si>
    <t>Revolving operating line of credit</t>
  </si>
  <si>
    <t>2700</t>
  </si>
  <si>
    <t>Term loans</t>
  </si>
  <si>
    <t>3000</t>
  </si>
  <si>
    <t>3200</t>
  </si>
  <si>
    <t>3300</t>
  </si>
  <si>
    <t>Dividends declared</t>
  </si>
  <si>
    <t>4000</t>
  </si>
  <si>
    <t>4100</t>
  </si>
  <si>
    <t>4200</t>
  </si>
  <si>
    <t>4300</t>
  </si>
  <si>
    <t>4400</t>
  </si>
  <si>
    <t>4900</t>
  </si>
  <si>
    <t>Discounts, insurer short-pays &amp; adjustments</t>
  </si>
  <si>
    <t>4950</t>
  </si>
  <si>
    <t>Interbranch service revenue (eliminated on consolidation)</t>
  </si>
  <si>
    <t>5000</t>
  </si>
  <si>
    <t>5100</t>
  </si>
  <si>
    <t>Parts cost</t>
  </si>
  <si>
    <t>5200</t>
  </si>
  <si>
    <t>Paint &amp; materials cost</t>
  </si>
  <si>
    <t>5300</t>
  </si>
  <si>
    <t>Subcontracted (sublet) repairs &amp; towing</t>
  </si>
  <si>
    <t>5400</t>
  </si>
  <si>
    <t>5450</t>
  </si>
  <si>
    <t>Interbranch sublet cost (eliminated on consolidation)</t>
  </si>
  <si>
    <t>5500</t>
  </si>
  <si>
    <t>6000</t>
  </si>
  <si>
    <t>Wages - branch management, estimators, advisors &amp; parts</t>
  </si>
  <si>
    <t>6010</t>
  </si>
  <si>
    <t>Salaries - group management &amp; administration</t>
  </si>
  <si>
    <t>6100</t>
  </si>
  <si>
    <t>Rent</t>
  </si>
  <si>
    <t>6105</t>
  </si>
  <si>
    <t>Common-area &amp; property tax charges</t>
  </si>
  <si>
    <t>6110</t>
  </si>
  <si>
    <t>Utilities</t>
  </si>
  <si>
    <t>6200</t>
  </si>
  <si>
    <t>6300</t>
  </si>
  <si>
    <t>Insurance (garage liability &amp; property)</t>
  </si>
  <si>
    <t>6310</t>
  </si>
  <si>
    <t>Professional fees</t>
  </si>
  <si>
    <t>6320</t>
  </si>
  <si>
    <t>Software &amp; IT (shop management, estimating)</t>
  </si>
  <si>
    <t>6330</t>
  </si>
  <si>
    <t>Collision network &amp; OEM certification fees</t>
  </si>
  <si>
    <t>6340</t>
  </si>
  <si>
    <t>Training &amp; certification</t>
  </si>
  <si>
    <t>6400</t>
  </si>
  <si>
    <t>Shop supplies &amp; equipment maintenance</t>
  </si>
  <si>
    <t>6410</t>
  </si>
  <si>
    <t>Courtesy vehicles, shuttle &amp; concierge</t>
  </si>
  <si>
    <t>6420</t>
  </si>
  <si>
    <t>Courier &amp; waste disposal</t>
  </si>
  <si>
    <t>6430</t>
  </si>
  <si>
    <t>Card processing fees</t>
  </si>
  <si>
    <t>6900</t>
  </si>
  <si>
    <t>7000</t>
  </si>
  <si>
    <t>Interest - term loans</t>
  </si>
  <si>
    <t>7010</t>
  </si>
  <si>
    <t>Interest - revolving line</t>
  </si>
  <si>
    <t>8000</t>
  </si>
  <si>
    <t>Income tax expense</t>
  </si>
  <si>
    <t>Check: sum of balances (must be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</si>
</sst>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;\(#,##0\);&quot;-&quot;"/>
    <numFmt numFmtId="166" formatCode="0.0000"/>
    <numFmt numFmtId="167" formatCode="#,##0.00;\(#,##0.00\);&quot;-&quot;"/>
  </numFmts>
  <fonts count="11" x14ac:knownFonts="1">
    <font>
      <sz val="11"/>
      <color theme="1"/>
      <name val="Calibri"/>
      <family val="2"/>
      <scheme val="minor"/>
    </font>
    <font>
      <b/>
      <sz val="11"/>
      <color rgb="FF7A4A00"/>
      <name val="Calibri"/>
      <family val="2"/>
    </font>
    <font>
      <b/>
      <sz val="14"/>
      <color rgb="FF184F95"/>
      <name val="Calibri"/>
      <family val="2"/>
    </font>
    <font>
      <i/>
      <sz val="11"/>
      <color rgb="FF52514E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color rgb="FF898781"/>
      <name val="Calibri"/>
      <family val="2"/>
    </font>
    <font>
      <b/>
      <sz val="12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184F95"/>
      <name val="Calibri"/>
      <family val="2"/>
    </font>
    <font>
      <b/>
      <sz val="11"/>
      <color rgb="FF184F9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4E5"/>
      </patternFill>
    </fill>
    <fill>
      <patternFill patternType="solid">
        <fgColor rgb="FF0B1120"/>
      </patternFill>
    </fill>
    <fill>
      <patternFill patternType="solid">
        <fgColor rgb="FFEAF2FC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5" fillId="0" borderId="0" xfId="0" applyFont="1"/>
    <xf numFmtId="0" fontId="7" fillId="5" borderId="0" xfId="0" applyFont="1" applyFill="1"/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wrapText="1"/>
    </xf>
    <xf numFmtId="0" fontId="6" fillId="0" borderId="0" xfId="0" applyFont="1"/>
    <xf numFmtId="164" fontId="8" fillId="5" borderId="0" xfId="0" applyNumberFormat="1" applyFont="1" applyFill="1"/>
    <xf numFmtId="164" fontId="0" fillId="0" borderId="0" xfId="0" applyNumberFormat="1"/>
    <xf numFmtId="165" fontId="8" fillId="5" borderId="0" xfId="0" applyNumberFormat="1" applyFont="1" applyFill="1"/>
    <xf numFmtId="166" fontId="8" fillId="5" borderId="0" xfId="0" applyNumberFormat="1" applyFont="1" applyFill="1"/>
    <xf numFmtId="1" fontId="8" fillId="5" borderId="0" xfId="0" applyNumberFormat="1" applyFont="1" applyFill="1"/>
    <xf numFmtId="0" fontId="9" fillId="0" borderId="0" xfId="0" applyFont="1"/>
    <xf numFmtId="165" fontId="0" fillId="0" borderId="0" xfId="0" applyNumberFormat="1"/>
    <xf numFmtId="0" fontId="5" fillId="4" borderId="1" xfId="0" applyFont="1" applyFill="1" applyBorder="1"/>
    <xf numFmtId="165" fontId="5" fillId="4" borderId="1" xfId="0" applyNumberFormat="1" applyFont="1" applyFill="1" applyBorder="1"/>
    <xf numFmtId="167" fontId="0" fillId="0" borderId="0" xfId="0" applyNumberFormat="1"/>
    <xf numFmtId="167" fontId="5" fillId="4" borderId="1" xfId="0" applyNumberFormat="1" applyFont="1" applyFill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1" width="160" customWidth="1"/>
  </cols>
  <sheetData>
    <row r="1" spans="1:8" x14ac:dyDescent="0.2">
      <c r="A1" s="20" t="s">
        <v>0</v>
      </c>
      <c r="B1" s="21"/>
      <c r="C1" s="21"/>
      <c r="D1" s="21"/>
      <c r="E1" s="21"/>
      <c r="F1" s="21"/>
      <c r="G1" s="21"/>
      <c r="H1" s="21"/>
    </row>
    <row r="2" spans="1:8" ht="19" x14ac:dyDescent="0.25">
      <c r="A2" s="1" t="s">
        <v>1</v>
      </c>
    </row>
    <row r="3" spans="1:8" x14ac:dyDescent="0.2">
      <c r="A3" s="2" t="s">
        <v>2</v>
      </c>
    </row>
    <row r="5" spans="1:8" x14ac:dyDescent="0.2">
      <c r="A5" s="3" t="s">
        <v>3</v>
      </c>
    </row>
    <row r="6" spans="1:8" x14ac:dyDescent="0.2">
      <c r="A6" t="s">
        <v>4</v>
      </c>
    </row>
    <row r="7" spans="1:8" x14ac:dyDescent="0.2">
      <c r="A7" t="s">
        <v>5</v>
      </c>
    </row>
    <row r="9" spans="1:8" x14ac:dyDescent="0.2">
      <c r="A9" s="3" t="s">
        <v>6</v>
      </c>
    </row>
    <row r="10" spans="1:8" x14ac:dyDescent="0.2">
      <c r="A10" t="s">
        <v>7</v>
      </c>
    </row>
    <row r="11" spans="1:8" x14ac:dyDescent="0.2">
      <c r="A11" t="s">
        <v>8</v>
      </c>
    </row>
    <row r="12" spans="1:8" x14ac:dyDescent="0.2">
      <c r="A12" t="s">
        <v>9</v>
      </c>
    </row>
    <row r="13" spans="1:8" x14ac:dyDescent="0.2">
      <c r="A13" t="s">
        <v>10</v>
      </c>
    </row>
    <row r="14" spans="1:8" x14ac:dyDescent="0.2">
      <c r="A14" t="s">
        <v>11</v>
      </c>
    </row>
    <row r="16" spans="1:8" x14ac:dyDescent="0.2">
      <c r="A16" s="3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20" spans="1:1" x14ac:dyDescent="0.2">
      <c r="A20" s="3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5" spans="1:1" x14ac:dyDescent="0.2">
      <c r="A25" s="3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9" spans="1:1" x14ac:dyDescent="0.2">
      <c r="A29" s="3" t="s">
        <v>22</v>
      </c>
    </row>
    <row r="30" spans="1:1" x14ac:dyDescent="0.2">
      <c r="A30" t="s">
        <v>23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GridLines="0" workbookViewId="0"/>
  </sheetViews>
  <sheetFormatPr baseColWidth="10" defaultColWidth="8.83203125" defaultRowHeight="15" x14ac:dyDescent="0.2"/>
  <cols>
    <col min="1" max="1" width="15" customWidth="1"/>
    <col min="2" max="2" width="58" customWidth="1"/>
    <col min="3" max="7" width="13" customWidth="1"/>
    <col min="8" max="8" width="14" customWidth="1"/>
  </cols>
  <sheetData>
    <row r="1" spans="1:9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9" x14ac:dyDescent="0.25">
      <c r="A2" s="1" t="s">
        <v>24</v>
      </c>
    </row>
    <row r="3" spans="1:9" x14ac:dyDescent="0.2">
      <c r="A3" s="2" t="s">
        <v>25</v>
      </c>
    </row>
    <row r="4" spans="1:9" ht="16" x14ac:dyDescent="0.2">
      <c r="B4" s="4" t="s">
        <v>26</v>
      </c>
      <c r="C4" s="5" t="s">
        <v>27</v>
      </c>
    </row>
    <row r="7" spans="1:9" ht="16" x14ac:dyDescent="0.2">
      <c r="A7" s="6" t="s">
        <v>28</v>
      </c>
      <c r="B7" s="7" t="s">
        <v>29</v>
      </c>
      <c r="C7" s="7" t="s">
        <v>30</v>
      </c>
      <c r="D7" s="7" t="s">
        <v>31</v>
      </c>
      <c r="E7" s="7" t="s">
        <v>27</v>
      </c>
      <c r="F7" s="7" t="s">
        <v>32</v>
      </c>
      <c r="G7" s="7" t="s">
        <v>33</v>
      </c>
      <c r="H7" s="7" t="s">
        <v>34</v>
      </c>
    </row>
    <row r="8" spans="1:9" x14ac:dyDescent="0.2">
      <c r="A8" s="8" t="s">
        <v>35</v>
      </c>
      <c r="B8" t="s">
        <v>36</v>
      </c>
      <c r="C8" t="s">
        <v>37</v>
      </c>
      <c r="D8" s="9">
        <v>-0.03</v>
      </c>
      <c r="E8" s="9">
        <v>0</v>
      </c>
      <c r="F8" s="9">
        <v>0.05</v>
      </c>
      <c r="G8" s="9">
        <v>0</v>
      </c>
      <c r="H8" s="10">
        <f t="shared" ref="H8:H17" si="0">INDEX(D8:G8,MATCH($C$4,$D$7:$G$7,0))</f>
        <v>0</v>
      </c>
    </row>
    <row r="9" spans="1:9" x14ac:dyDescent="0.2">
      <c r="A9" s="8" t="s">
        <v>38</v>
      </c>
      <c r="B9" t="s">
        <v>39</v>
      </c>
      <c r="C9" t="s">
        <v>37</v>
      </c>
      <c r="D9" s="9">
        <v>0.03</v>
      </c>
      <c r="E9" s="9">
        <v>0</v>
      </c>
      <c r="F9" s="9">
        <v>-0.02</v>
      </c>
      <c r="G9" s="9">
        <v>0</v>
      </c>
      <c r="H9" s="10">
        <f t="shared" si="0"/>
        <v>0</v>
      </c>
    </row>
    <row r="10" spans="1:9" x14ac:dyDescent="0.2">
      <c r="A10" s="8" t="s">
        <v>40</v>
      </c>
      <c r="B10" t="s">
        <v>41</v>
      </c>
      <c r="C10" t="s">
        <v>37</v>
      </c>
      <c r="D10" s="9">
        <v>0</v>
      </c>
      <c r="E10" s="9">
        <v>0</v>
      </c>
      <c r="F10" s="9">
        <v>-0.1</v>
      </c>
      <c r="G10" s="9">
        <v>0</v>
      </c>
      <c r="H10" s="10">
        <f t="shared" si="0"/>
        <v>0</v>
      </c>
    </row>
    <row r="11" spans="1:9" x14ac:dyDescent="0.2">
      <c r="A11" s="8" t="s">
        <v>42</v>
      </c>
      <c r="B11" t="s">
        <v>43</v>
      </c>
      <c r="C11" t="s">
        <v>37</v>
      </c>
      <c r="D11" s="9">
        <v>-0.06</v>
      </c>
      <c r="E11" s="9">
        <v>0</v>
      </c>
      <c r="F11" s="9">
        <v>0.05</v>
      </c>
      <c r="G11" s="9">
        <v>0</v>
      </c>
      <c r="H11" s="10">
        <f t="shared" si="0"/>
        <v>0</v>
      </c>
    </row>
    <row r="12" spans="1:9" x14ac:dyDescent="0.2">
      <c r="A12" s="8" t="s">
        <v>44</v>
      </c>
      <c r="B12" t="s">
        <v>45</v>
      </c>
      <c r="C12" t="s">
        <v>37</v>
      </c>
      <c r="D12" s="9">
        <v>0</v>
      </c>
      <c r="E12" s="9">
        <v>0</v>
      </c>
      <c r="F12" s="9">
        <v>0</v>
      </c>
      <c r="G12" s="9">
        <v>0</v>
      </c>
      <c r="H12" s="10">
        <f t="shared" si="0"/>
        <v>0</v>
      </c>
    </row>
    <row r="13" spans="1:9" x14ac:dyDescent="0.2">
      <c r="A13" s="8" t="s">
        <v>46</v>
      </c>
      <c r="B13" t="s">
        <v>47</v>
      </c>
      <c r="C13" t="s">
        <v>37</v>
      </c>
      <c r="D13" s="9">
        <v>0.15</v>
      </c>
      <c r="E13" s="9">
        <v>0</v>
      </c>
      <c r="F13" s="9">
        <v>-0.1</v>
      </c>
      <c r="G13" s="9">
        <v>0</v>
      </c>
      <c r="H13" s="10">
        <f t="shared" si="0"/>
        <v>0</v>
      </c>
    </row>
    <row r="14" spans="1:9" x14ac:dyDescent="0.2">
      <c r="A14" s="8" t="s">
        <v>48</v>
      </c>
      <c r="B14" t="s">
        <v>49</v>
      </c>
      <c r="C14" t="s">
        <v>50</v>
      </c>
      <c r="D14" s="9">
        <v>0</v>
      </c>
      <c r="E14" s="9">
        <v>0</v>
      </c>
      <c r="F14" s="9">
        <v>0</v>
      </c>
      <c r="G14" s="9">
        <v>0</v>
      </c>
      <c r="H14" s="10">
        <f t="shared" si="0"/>
        <v>0</v>
      </c>
    </row>
    <row r="15" spans="1:9" x14ac:dyDescent="0.2">
      <c r="A15" s="8" t="s">
        <v>51</v>
      </c>
      <c r="B15" t="s">
        <v>52</v>
      </c>
      <c r="C15" t="s">
        <v>37</v>
      </c>
      <c r="D15" s="9">
        <v>0</v>
      </c>
      <c r="E15" s="9">
        <v>0</v>
      </c>
      <c r="F15" s="9">
        <v>0.1</v>
      </c>
      <c r="G15" s="9">
        <v>0</v>
      </c>
      <c r="H15" s="10">
        <f t="shared" si="0"/>
        <v>0</v>
      </c>
    </row>
    <row r="16" spans="1:9" x14ac:dyDescent="0.2">
      <c r="A16" s="8" t="s">
        <v>53</v>
      </c>
      <c r="B16" t="s">
        <v>54</v>
      </c>
      <c r="C16" t="s">
        <v>37</v>
      </c>
      <c r="D16" s="9">
        <v>0.02</v>
      </c>
      <c r="E16" s="9">
        <v>0</v>
      </c>
      <c r="F16" s="9">
        <v>0</v>
      </c>
      <c r="G16" s="9">
        <v>0</v>
      </c>
      <c r="H16" s="10">
        <f t="shared" si="0"/>
        <v>0</v>
      </c>
    </row>
    <row r="17" spans="1:8" x14ac:dyDescent="0.2">
      <c r="A17" s="8" t="s">
        <v>55</v>
      </c>
      <c r="B17" t="s">
        <v>56</v>
      </c>
      <c r="C17" t="s">
        <v>37</v>
      </c>
      <c r="D17" s="9">
        <v>5.0000000000000001E-3</v>
      </c>
      <c r="E17" s="9">
        <v>0</v>
      </c>
      <c r="F17" s="9">
        <v>0</v>
      </c>
      <c r="G17" s="9">
        <v>0</v>
      </c>
      <c r="H17" s="10">
        <f t="shared" si="0"/>
        <v>0</v>
      </c>
    </row>
    <row r="19" spans="1:8" x14ac:dyDescent="0.2">
      <c r="B19" s="4" t="s">
        <v>57</v>
      </c>
    </row>
    <row r="20" spans="1:8" x14ac:dyDescent="0.2">
      <c r="B20" s="4" t="s">
        <v>31</v>
      </c>
      <c r="C20" t="s">
        <v>58</v>
      </c>
    </row>
    <row r="21" spans="1:8" x14ac:dyDescent="0.2">
      <c r="B21" s="4" t="s">
        <v>27</v>
      </c>
      <c r="C21" t="s">
        <v>59</v>
      </c>
    </row>
    <row r="22" spans="1:8" x14ac:dyDescent="0.2">
      <c r="B22" s="4" t="s">
        <v>32</v>
      </c>
      <c r="C22" t="s">
        <v>60</v>
      </c>
    </row>
    <row r="24" spans="1:8" ht="16" x14ac:dyDescent="0.2">
      <c r="A24" s="6" t="s">
        <v>28</v>
      </c>
      <c r="B24" s="7" t="s">
        <v>61</v>
      </c>
      <c r="C24" s="7"/>
      <c r="D24" s="7"/>
      <c r="E24" s="7"/>
      <c r="F24" s="7"/>
      <c r="G24" s="7"/>
      <c r="H24" s="7" t="s">
        <v>62</v>
      </c>
    </row>
    <row r="25" spans="1:8" x14ac:dyDescent="0.2">
      <c r="A25" s="8" t="s">
        <v>63</v>
      </c>
      <c r="B25" t="s">
        <v>64</v>
      </c>
      <c r="H25" s="11">
        <v>348.97632107075958</v>
      </c>
    </row>
    <row r="26" spans="1:8" x14ac:dyDescent="0.2">
      <c r="A26" s="8" t="s">
        <v>65</v>
      </c>
      <c r="B26" t="s">
        <v>66</v>
      </c>
      <c r="H26" s="11">
        <v>376.78663628601703</v>
      </c>
    </row>
    <row r="27" spans="1:8" x14ac:dyDescent="0.2">
      <c r="A27" s="8" t="s">
        <v>67</v>
      </c>
      <c r="B27" t="s">
        <v>68</v>
      </c>
      <c r="H27" s="12">
        <v>0.39767955146593847</v>
      </c>
    </row>
    <row r="28" spans="1:8" x14ac:dyDescent="0.2">
      <c r="A28" s="8" t="s">
        <v>69</v>
      </c>
      <c r="B28" t="s">
        <v>70</v>
      </c>
      <c r="H28" s="12">
        <v>0.34233577400800358</v>
      </c>
    </row>
    <row r="29" spans="1:8" x14ac:dyDescent="0.2">
      <c r="A29" s="8" t="s">
        <v>71</v>
      </c>
      <c r="B29" t="s">
        <v>72</v>
      </c>
      <c r="H29" s="12">
        <v>0.20953296858232809</v>
      </c>
    </row>
    <row r="30" spans="1:8" x14ac:dyDescent="0.2">
      <c r="A30" s="8" t="s">
        <v>73</v>
      </c>
      <c r="B30" t="s">
        <v>74</v>
      </c>
      <c r="H30" s="12">
        <v>3.5391844689575423E-2</v>
      </c>
    </row>
    <row r="31" spans="1:8" x14ac:dyDescent="0.2">
      <c r="A31" s="8" t="s">
        <v>75</v>
      </c>
      <c r="B31" t="s">
        <v>76</v>
      </c>
      <c r="H31" s="12">
        <v>4.2028689231582421E-2</v>
      </c>
    </row>
    <row r="32" spans="1:8" x14ac:dyDescent="0.2">
      <c r="A32" s="8" t="s">
        <v>77</v>
      </c>
      <c r="B32" t="s">
        <v>78</v>
      </c>
      <c r="H32" s="12">
        <v>1.477968200356152E-2</v>
      </c>
    </row>
    <row r="33" spans="1:8" x14ac:dyDescent="0.2">
      <c r="A33" s="8" t="s">
        <v>79</v>
      </c>
      <c r="B33" t="s">
        <v>80</v>
      </c>
      <c r="H33" s="12">
        <v>1.24205527124667E-2</v>
      </c>
    </row>
    <row r="34" spans="1:8" x14ac:dyDescent="0.2">
      <c r="A34" s="8" t="s">
        <v>81</v>
      </c>
      <c r="B34" t="s">
        <v>82</v>
      </c>
      <c r="H34" s="12">
        <v>7.3502576860850618E-3</v>
      </c>
    </row>
    <row r="35" spans="1:8" x14ac:dyDescent="0.2">
      <c r="A35" s="8" t="s">
        <v>83</v>
      </c>
      <c r="B35" t="s">
        <v>84</v>
      </c>
      <c r="H35" s="12">
        <v>8.9998412380536488E-4</v>
      </c>
    </row>
    <row r="36" spans="1:8" x14ac:dyDescent="0.2">
      <c r="A36" s="8" t="s">
        <v>85</v>
      </c>
      <c r="B36" t="s">
        <v>85</v>
      </c>
      <c r="H36" s="12">
        <v>1.136900150694871</v>
      </c>
    </row>
    <row r="37" spans="1:8" x14ac:dyDescent="0.2">
      <c r="A37" s="8" t="s">
        <v>86</v>
      </c>
      <c r="B37" t="s">
        <v>86</v>
      </c>
      <c r="H37" s="12">
        <v>0.96698978906689081</v>
      </c>
    </row>
    <row r="38" spans="1:8" x14ac:dyDescent="0.2">
      <c r="A38" s="8" t="s">
        <v>87</v>
      </c>
      <c r="B38" t="s">
        <v>88</v>
      </c>
      <c r="H38" s="11">
        <v>60.213001737051343</v>
      </c>
    </row>
    <row r="39" spans="1:8" x14ac:dyDescent="0.2">
      <c r="A39" s="8" t="s">
        <v>89</v>
      </c>
      <c r="B39" t="s">
        <v>90</v>
      </c>
      <c r="H39" s="11">
        <v>63.615001460019343</v>
      </c>
    </row>
    <row r="40" spans="1:8" x14ac:dyDescent="0.2">
      <c r="A40" s="8" t="s">
        <v>91</v>
      </c>
      <c r="B40" t="s">
        <v>92</v>
      </c>
      <c r="H40" s="12">
        <v>0.1</v>
      </c>
    </row>
    <row r="41" spans="1:8" x14ac:dyDescent="0.2">
      <c r="A41" s="8" t="s">
        <v>93</v>
      </c>
      <c r="B41" t="s">
        <v>94</v>
      </c>
      <c r="H41" s="12">
        <v>0.15</v>
      </c>
    </row>
    <row r="42" spans="1:8" x14ac:dyDescent="0.2">
      <c r="A42" s="8" t="s">
        <v>95</v>
      </c>
      <c r="B42" t="s">
        <v>96</v>
      </c>
      <c r="H42" s="11">
        <v>154.2510103863967</v>
      </c>
    </row>
    <row r="43" spans="1:8" x14ac:dyDescent="0.2">
      <c r="A43" s="8" t="s">
        <v>97</v>
      </c>
      <c r="B43" t="s">
        <v>98</v>
      </c>
      <c r="H43" s="11">
        <v>7665.2837001980179</v>
      </c>
    </row>
    <row r="44" spans="1:8" x14ac:dyDescent="0.2">
      <c r="A44" s="8" t="s">
        <v>99</v>
      </c>
      <c r="B44" t="s">
        <v>100</v>
      </c>
      <c r="H44" s="12">
        <v>0.17811800925438101</v>
      </c>
    </row>
    <row r="45" spans="1:8" x14ac:dyDescent="0.2">
      <c r="A45" s="8" t="s">
        <v>101</v>
      </c>
      <c r="B45" t="s">
        <v>102</v>
      </c>
      <c r="H45" s="12">
        <v>7.1804581402822318E-3</v>
      </c>
    </row>
    <row r="46" spans="1:8" x14ac:dyDescent="0.2">
      <c r="A46" s="8" t="s">
        <v>103</v>
      </c>
      <c r="B46" t="s">
        <v>104</v>
      </c>
      <c r="H46" s="12">
        <v>0.51850632128685614</v>
      </c>
    </row>
    <row r="47" spans="1:8" x14ac:dyDescent="0.2">
      <c r="A47" s="8" t="s">
        <v>105</v>
      </c>
      <c r="B47" t="s">
        <v>106</v>
      </c>
      <c r="H47" s="11">
        <v>28.356160445916132</v>
      </c>
    </row>
    <row r="48" spans="1:8" x14ac:dyDescent="0.2">
      <c r="A48" s="8" t="s">
        <v>107</v>
      </c>
      <c r="B48" t="s">
        <v>108</v>
      </c>
      <c r="H48" s="12">
        <v>6.7622951730092695E-2</v>
      </c>
    </row>
    <row r="49" spans="1:8" x14ac:dyDescent="0.2">
      <c r="A49" s="8" t="s">
        <v>109</v>
      </c>
      <c r="B49" t="s">
        <v>110</v>
      </c>
      <c r="H49" s="12">
        <v>0.332208586599954</v>
      </c>
    </row>
    <row r="50" spans="1:8" x14ac:dyDescent="0.2">
      <c r="A50" s="8" t="s">
        <v>111</v>
      </c>
      <c r="B50" t="s">
        <v>112</v>
      </c>
      <c r="H50" s="12">
        <v>0.42399231615444061</v>
      </c>
    </row>
    <row r="51" spans="1:8" x14ac:dyDescent="0.2">
      <c r="A51" s="8" t="s">
        <v>113</v>
      </c>
      <c r="B51" t="s">
        <v>114</v>
      </c>
      <c r="H51" s="12">
        <v>5.37373191537921</v>
      </c>
    </row>
    <row r="52" spans="1:8" x14ac:dyDescent="0.2">
      <c r="A52" s="8" t="s">
        <v>115</v>
      </c>
      <c r="B52" t="s">
        <v>116</v>
      </c>
      <c r="H52" s="11">
        <v>28.844417064189699</v>
      </c>
    </row>
    <row r="53" spans="1:8" x14ac:dyDescent="0.2">
      <c r="A53" s="8" t="s">
        <v>117</v>
      </c>
      <c r="B53" t="s">
        <v>118</v>
      </c>
      <c r="H53" s="12">
        <v>1.0749520018891561</v>
      </c>
    </row>
    <row r="54" spans="1:8" x14ac:dyDescent="0.2">
      <c r="A54" s="8" t="s">
        <v>119</v>
      </c>
      <c r="B54" t="s">
        <v>120</v>
      </c>
      <c r="H54" s="12">
        <v>0.5</v>
      </c>
    </row>
    <row r="55" spans="1:8" x14ac:dyDescent="0.2">
      <c r="A55" s="8" t="s">
        <v>121</v>
      </c>
      <c r="B55" t="s">
        <v>122</v>
      </c>
      <c r="H55" s="12">
        <v>0.05</v>
      </c>
    </row>
    <row r="56" spans="1:8" x14ac:dyDescent="0.2">
      <c r="A56" s="8" t="s">
        <v>123</v>
      </c>
      <c r="B56" t="s">
        <v>124</v>
      </c>
      <c r="H56" s="12">
        <v>4.4499999999999998E-2</v>
      </c>
    </row>
    <row r="57" spans="1:8" x14ac:dyDescent="0.2">
      <c r="A57" s="8" t="s">
        <v>125</v>
      </c>
      <c r="B57" t="s">
        <v>126</v>
      </c>
      <c r="H57" s="12">
        <v>2.1764705882352939E-2</v>
      </c>
    </row>
    <row r="58" spans="1:8" x14ac:dyDescent="0.2">
      <c r="A58" s="8" t="s">
        <v>127</v>
      </c>
      <c r="B58" t="s">
        <v>128</v>
      </c>
      <c r="H58" s="12">
        <v>0.01</v>
      </c>
    </row>
    <row r="59" spans="1:8" x14ac:dyDescent="0.2">
      <c r="A59" s="8" t="s">
        <v>129</v>
      </c>
      <c r="B59" t="s">
        <v>130</v>
      </c>
      <c r="H59" s="11">
        <v>600000</v>
      </c>
    </row>
    <row r="60" spans="1:8" x14ac:dyDescent="0.2">
      <c r="A60" s="8" t="s">
        <v>131</v>
      </c>
      <c r="B60" t="s">
        <v>132</v>
      </c>
      <c r="H60" s="11">
        <v>150000</v>
      </c>
    </row>
    <row r="61" spans="1:8" x14ac:dyDescent="0.2">
      <c r="A61" s="8" t="s">
        <v>133</v>
      </c>
      <c r="B61" t="s">
        <v>134</v>
      </c>
      <c r="H61" s="11">
        <v>250000</v>
      </c>
    </row>
    <row r="62" spans="1:8" x14ac:dyDescent="0.2">
      <c r="A62" s="8" t="s">
        <v>135</v>
      </c>
      <c r="B62" t="s">
        <v>136</v>
      </c>
      <c r="H62" s="11">
        <v>400000</v>
      </c>
    </row>
    <row r="63" spans="1:8" x14ac:dyDescent="0.2">
      <c r="A63" s="8" t="s">
        <v>137</v>
      </c>
      <c r="B63" t="s">
        <v>138</v>
      </c>
      <c r="H63" s="11">
        <v>5000</v>
      </c>
    </row>
    <row r="64" spans="1:8" x14ac:dyDescent="0.2">
      <c r="A64" s="8" t="s">
        <v>139</v>
      </c>
      <c r="B64" t="s">
        <v>140</v>
      </c>
      <c r="H64" s="12">
        <v>0.4</v>
      </c>
    </row>
    <row r="65" spans="1:8" x14ac:dyDescent="0.2">
      <c r="A65" s="8" t="s">
        <v>141</v>
      </c>
      <c r="B65" t="s">
        <v>142</v>
      </c>
      <c r="H65" s="11">
        <v>450000</v>
      </c>
    </row>
    <row r="66" spans="1:8" x14ac:dyDescent="0.2">
      <c r="A66" s="8" t="s">
        <v>143</v>
      </c>
      <c r="B66" t="s">
        <v>144</v>
      </c>
      <c r="H66" s="11">
        <v>120</v>
      </c>
    </row>
    <row r="67" spans="1:8" x14ac:dyDescent="0.2">
      <c r="A67" s="8" t="s">
        <v>145</v>
      </c>
      <c r="B67" t="s">
        <v>146</v>
      </c>
      <c r="H67" s="12">
        <v>0.11</v>
      </c>
    </row>
    <row r="68" spans="1:8" x14ac:dyDescent="0.2">
      <c r="A68" s="8" t="s">
        <v>147</v>
      </c>
      <c r="B68" t="s">
        <v>148</v>
      </c>
      <c r="H68" s="12">
        <v>0.23</v>
      </c>
    </row>
    <row r="69" spans="1:8" x14ac:dyDescent="0.2">
      <c r="A69" s="8" t="s">
        <v>149</v>
      </c>
      <c r="B69" t="s">
        <v>150</v>
      </c>
      <c r="H69" s="11">
        <v>500000</v>
      </c>
    </row>
  </sheetData>
  <mergeCells count="1">
    <mergeCell ref="A1:I1"/>
  </mergeCells>
  <dataValidations count="1">
    <dataValidation type="list" sqref="C4" xr:uid="{00000000-0002-0000-0100-000000000000}">
      <formula1>"Conservative,Base,Optimistic,Custom"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5" customWidth="1"/>
    <col min="2" max="2" width="62" customWidth="1"/>
    <col min="3" max="16" width="12.5" customWidth="1"/>
  </cols>
  <sheetData>
    <row r="1" spans="1:16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9" x14ac:dyDescent="0.25">
      <c r="A2" s="1" t="s">
        <v>151</v>
      </c>
    </row>
    <row r="3" spans="1:16" x14ac:dyDescent="0.2">
      <c r="A3" s="2" t="s">
        <v>152</v>
      </c>
    </row>
    <row r="5" spans="1:16" ht="32" x14ac:dyDescent="0.2">
      <c r="A5" s="6" t="s">
        <v>28</v>
      </c>
      <c r="B5" s="7" t="s">
        <v>153</v>
      </c>
      <c r="C5" s="7" t="s">
        <v>154</v>
      </c>
      <c r="D5" s="7" t="s">
        <v>155</v>
      </c>
      <c r="E5" s="7" t="s">
        <v>156</v>
      </c>
      <c r="F5" s="7" t="s">
        <v>157</v>
      </c>
      <c r="G5" s="7" t="s">
        <v>158</v>
      </c>
      <c r="H5" s="7" t="s">
        <v>159</v>
      </c>
      <c r="I5" s="7" t="s">
        <v>160</v>
      </c>
      <c r="J5" s="7" t="s">
        <v>161</v>
      </c>
      <c r="K5" s="7" t="s">
        <v>162</v>
      </c>
      <c r="L5" s="7" t="s">
        <v>163</v>
      </c>
      <c r="M5" s="7" t="s">
        <v>164</v>
      </c>
      <c r="N5" s="7" t="s">
        <v>165</v>
      </c>
      <c r="O5" s="7" t="s">
        <v>166</v>
      </c>
      <c r="P5" s="7" t="s">
        <v>167</v>
      </c>
    </row>
    <row r="6" spans="1:16" x14ac:dyDescent="0.2">
      <c r="A6" s="8" t="s">
        <v>168</v>
      </c>
      <c r="B6" t="s">
        <v>169</v>
      </c>
      <c r="D6" s="11">
        <v>2285.6</v>
      </c>
      <c r="E6" s="11">
        <v>2714</v>
      </c>
      <c r="F6" s="11">
        <v>2288.9</v>
      </c>
      <c r="G6" s="11">
        <v>2199.1999999999998</v>
      </c>
      <c r="H6" s="11">
        <v>2254.1</v>
      </c>
      <c r="I6" s="11">
        <v>2082</v>
      </c>
      <c r="J6" s="11">
        <v>2057.9</v>
      </c>
      <c r="K6" s="11">
        <v>1678.7</v>
      </c>
      <c r="L6" s="11">
        <v>2059.1999999999998</v>
      </c>
      <c r="M6" s="11">
        <v>1983.4</v>
      </c>
      <c r="N6" s="11">
        <v>2130.1</v>
      </c>
      <c r="O6" s="11">
        <v>1718</v>
      </c>
    </row>
    <row r="7" spans="1:16" x14ac:dyDescent="0.2">
      <c r="A7" s="8" t="s">
        <v>170</v>
      </c>
      <c r="B7" t="s">
        <v>171</v>
      </c>
      <c r="D7" s="11">
        <v>1278.0768488332519</v>
      </c>
      <c r="E7" s="11">
        <v>1093.501401208086</v>
      </c>
      <c r="F7" s="11">
        <v>640.81541550250222</v>
      </c>
      <c r="G7" s="11">
        <v>770.30167493179613</v>
      </c>
      <c r="H7" s="11">
        <v>759.74213445609951</v>
      </c>
      <c r="I7" s="11">
        <v>719.22129044131566</v>
      </c>
      <c r="J7" s="11">
        <v>955.68459869606761</v>
      </c>
      <c r="K7" s="11">
        <v>1092.522867600095</v>
      </c>
      <c r="L7" s="11">
        <v>780.84288688571382</v>
      </c>
      <c r="M7" s="11">
        <v>700.79849349659298</v>
      </c>
      <c r="N7" s="11">
        <v>700.32617599073069</v>
      </c>
      <c r="O7" s="11">
        <v>733.43261043236782</v>
      </c>
    </row>
    <row r="8" spans="1:16" x14ac:dyDescent="0.2">
      <c r="A8" s="8" t="s">
        <v>172</v>
      </c>
      <c r="B8" t="s">
        <v>173</v>
      </c>
      <c r="D8" s="11">
        <v>2713.7914873291388</v>
      </c>
      <c r="E8" s="11">
        <v>2648.6804192310219</v>
      </c>
      <c r="F8" s="11">
        <v>2372.2777777933902</v>
      </c>
      <c r="G8" s="11">
        <v>2621.727839570648</v>
      </c>
      <c r="H8" s="11">
        <v>2478.8523344104342</v>
      </c>
      <c r="I8" s="11">
        <v>2836.512635137869</v>
      </c>
      <c r="J8" s="11">
        <v>2912.5300070304438</v>
      </c>
      <c r="K8" s="11">
        <v>2601.666424340101</v>
      </c>
      <c r="L8" s="11">
        <v>2836.8109838168398</v>
      </c>
      <c r="M8" s="11">
        <v>2289.0522541806022</v>
      </c>
      <c r="N8" s="11">
        <v>2475.4211619418911</v>
      </c>
      <c r="O8" s="11">
        <v>2756.634216055515</v>
      </c>
    </row>
    <row r="9" spans="1:16" x14ac:dyDescent="0.2">
      <c r="A9" s="8" t="s">
        <v>174</v>
      </c>
      <c r="B9" t="s">
        <v>175</v>
      </c>
      <c r="D9" s="11">
        <v>1408.5735847275821</v>
      </c>
      <c r="E9" s="11">
        <v>1361.8047824826419</v>
      </c>
      <c r="F9" s="11">
        <v>1260.760468369718</v>
      </c>
      <c r="G9" s="11">
        <v>1366.244686447631</v>
      </c>
      <c r="H9" s="11">
        <v>1300.840711385594</v>
      </c>
      <c r="I9" s="11">
        <v>1467.762181793436</v>
      </c>
      <c r="J9" s="11">
        <v>1511.039119096132</v>
      </c>
      <c r="K9" s="11">
        <v>1343.1410401648141</v>
      </c>
      <c r="L9" s="11">
        <v>1472.8828958341071</v>
      </c>
      <c r="M9" s="11">
        <v>1129.4397758977329</v>
      </c>
      <c r="N9" s="11">
        <v>1315.995743736913</v>
      </c>
      <c r="O9" s="11">
        <v>1429.8813544946181</v>
      </c>
    </row>
    <row r="10" spans="1:16" x14ac:dyDescent="0.2">
      <c r="A10" s="8" t="s">
        <v>176</v>
      </c>
      <c r="B10" t="s">
        <v>177</v>
      </c>
      <c r="D10" s="11">
        <v>49818.876254817827</v>
      </c>
      <c r="E10" s="11">
        <v>28914.678452587901</v>
      </c>
      <c r="F10" s="11">
        <v>28623.463481322291</v>
      </c>
      <c r="G10" s="11">
        <v>31386.087824407688</v>
      </c>
      <c r="H10" s="11">
        <v>26212.375944053329</v>
      </c>
      <c r="I10" s="11">
        <v>42310.945849710428</v>
      </c>
      <c r="J10" s="11">
        <v>60392.943200462971</v>
      </c>
      <c r="K10" s="11">
        <v>65411.936974652403</v>
      </c>
      <c r="L10" s="11">
        <v>72507.921762433951</v>
      </c>
      <c r="M10" s="11">
        <v>59629.452957685782</v>
      </c>
      <c r="N10" s="11">
        <v>62989.913169153893</v>
      </c>
      <c r="O10" s="11">
        <v>53724.191131222316</v>
      </c>
    </row>
    <row r="11" spans="1:16" x14ac:dyDescent="0.2">
      <c r="A11" s="8" t="s">
        <v>178</v>
      </c>
      <c r="B11" t="s">
        <v>179</v>
      </c>
      <c r="D11" s="11">
        <v>53335.919168729197</v>
      </c>
      <c r="E11" s="11">
        <v>50974.558681785144</v>
      </c>
      <c r="F11" s="11">
        <v>36004.832122153734</v>
      </c>
      <c r="G11" s="11">
        <v>52279.429094072351</v>
      </c>
      <c r="H11" s="11">
        <v>46466.136292680232</v>
      </c>
      <c r="I11" s="11">
        <v>68420.978084541028</v>
      </c>
      <c r="J11" s="11">
        <v>69253.865751908466</v>
      </c>
      <c r="K11" s="11">
        <v>76289.369621640464</v>
      </c>
      <c r="L11" s="11">
        <v>61685.239235366127</v>
      </c>
      <c r="M11" s="11">
        <v>56157.116117256053</v>
      </c>
      <c r="N11" s="11">
        <v>73282.189627761545</v>
      </c>
      <c r="O11" s="11">
        <v>47150.977354988441</v>
      </c>
    </row>
    <row r="12" spans="1:16" x14ac:dyDescent="0.2">
      <c r="A12" s="8" t="s">
        <v>180</v>
      </c>
      <c r="B12" t="s">
        <v>181</v>
      </c>
      <c r="D12" s="11">
        <v>44844.94</v>
      </c>
      <c r="E12" s="11">
        <v>38056.74</v>
      </c>
      <c r="F12" s="11">
        <v>22726.79</v>
      </c>
      <c r="G12" s="11">
        <v>46911.53</v>
      </c>
      <c r="H12" s="11">
        <v>29218.25</v>
      </c>
      <c r="I12" s="11">
        <v>62981.53</v>
      </c>
      <c r="J12" s="11">
        <v>77274.89</v>
      </c>
      <c r="K12" s="11">
        <v>54051.37</v>
      </c>
      <c r="L12" s="11">
        <v>86525.79</v>
      </c>
      <c r="M12" s="11">
        <v>141310.65</v>
      </c>
      <c r="N12" s="11">
        <v>74340.63</v>
      </c>
      <c r="O12" s="11">
        <v>90328.55</v>
      </c>
    </row>
    <row r="13" spans="1:16" x14ac:dyDescent="0.2">
      <c r="A13" s="8" t="s">
        <v>182</v>
      </c>
      <c r="B13" t="s">
        <v>183</v>
      </c>
      <c r="D13" s="11">
        <v>257413.38420999999</v>
      </c>
      <c r="E13" s="11">
        <v>223478.66740000001</v>
      </c>
      <c r="F13" s="11">
        <v>257413.38420999999</v>
      </c>
      <c r="G13" s="11">
        <v>265534.82554500003</v>
      </c>
      <c r="H13" s="11">
        <v>244269.22461</v>
      </c>
      <c r="I13" s="11">
        <v>282315.26984999998</v>
      </c>
      <c r="J13" s="11">
        <v>269633.25477</v>
      </c>
      <c r="K13" s="11">
        <v>257892.31309499999</v>
      </c>
      <c r="L13" s="11">
        <v>290733.36920999998</v>
      </c>
      <c r="M13" s="11">
        <v>290733.36920999998</v>
      </c>
      <c r="N13" s="11">
        <v>278383.10888999997</v>
      </c>
      <c r="O13" s="11">
        <v>277668.71324999997</v>
      </c>
    </row>
    <row r="14" spans="1:16" x14ac:dyDescent="0.2">
      <c r="A14" s="8" t="s">
        <v>184</v>
      </c>
      <c r="B14" t="s">
        <v>185</v>
      </c>
      <c r="D14" s="11">
        <v>141220.64259999999</v>
      </c>
      <c r="E14" s="11">
        <v>141220.64259999999</v>
      </c>
      <c r="F14" s="11">
        <v>141220.64259999999</v>
      </c>
      <c r="G14" s="11">
        <v>145457.2592</v>
      </c>
      <c r="H14" s="11">
        <v>145457.2592</v>
      </c>
      <c r="I14" s="11">
        <v>145457.2592</v>
      </c>
      <c r="J14" s="11">
        <v>145457.2592</v>
      </c>
      <c r="K14" s="11">
        <v>145457.2592</v>
      </c>
      <c r="L14" s="11">
        <v>145457.2592</v>
      </c>
      <c r="M14" s="11">
        <v>145457.2592</v>
      </c>
      <c r="N14" s="11">
        <v>145457.2592</v>
      </c>
      <c r="O14" s="11">
        <v>145457.2592</v>
      </c>
    </row>
    <row r="15" spans="1:16" x14ac:dyDescent="0.2">
      <c r="A15" s="8" t="s">
        <v>186</v>
      </c>
      <c r="B15" t="s">
        <v>187</v>
      </c>
      <c r="D15" s="11">
        <v>99702.616249999992</v>
      </c>
      <c r="E15" s="11">
        <v>104967.13924999999</v>
      </c>
      <c r="F15" s="11">
        <v>105416.80675</v>
      </c>
      <c r="G15" s="11">
        <v>108921.58705</v>
      </c>
      <c r="H15" s="11">
        <v>108259.4473</v>
      </c>
      <c r="I15" s="11">
        <v>108749.0488</v>
      </c>
      <c r="J15" s="11">
        <v>102371.75505000001</v>
      </c>
      <c r="K15" s="11">
        <v>102558.95080000001</v>
      </c>
      <c r="L15" s="11">
        <v>102699.7448</v>
      </c>
      <c r="M15" s="11">
        <v>102658.64230000001</v>
      </c>
      <c r="N15" s="11">
        <v>102532.7723</v>
      </c>
      <c r="O15" s="11">
        <v>102666.4938</v>
      </c>
    </row>
    <row r="16" spans="1:16" x14ac:dyDescent="0.2">
      <c r="A16" s="8" t="s">
        <v>188</v>
      </c>
      <c r="B16" t="s">
        <v>189</v>
      </c>
      <c r="D16" s="11">
        <v>10799.994500000001</v>
      </c>
      <c r="E16" s="11">
        <v>10686.6705</v>
      </c>
      <c r="F16" s="11">
        <v>10359.2855</v>
      </c>
      <c r="G16" s="11">
        <v>9703.9619999999995</v>
      </c>
      <c r="H16" s="11">
        <v>10590.86375</v>
      </c>
      <c r="I16" s="11">
        <v>9425.0902499999975</v>
      </c>
      <c r="J16" s="11">
        <v>9514.5829999999987</v>
      </c>
      <c r="K16" s="11">
        <v>9872.8819999999996</v>
      </c>
      <c r="L16" s="11">
        <v>11208.48775</v>
      </c>
      <c r="M16" s="11">
        <v>10787.960999999999</v>
      </c>
      <c r="N16" s="11">
        <v>9762.95075</v>
      </c>
      <c r="O16" s="11">
        <v>9637.7162499999995</v>
      </c>
    </row>
    <row r="17" spans="1:15" x14ac:dyDescent="0.2">
      <c r="A17" s="8" t="s">
        <v>190</v>
      </c>
      <c r="B17" t="s">
        <v>191</v>
      </c>
      <c r="D17" s="11">
        <v>30221.991750000001</v>
      </c>
      <c r="E17" s="11">
        <v>30354.647250000002</v>
      </c>
      <c r="F17" s="11">
        <v>29455.302</v>
      </c>
      <c r="G17" s="11">
        <v>34314.663</v>
      </c>
      <c r="H17" s="11">
        <v>30551.426749999999</v>
      </c>
      <c r="I17" s="11">
        <v>31001.27874999999</v>
      </c>
      <c r="J17" s="11">
        <v>31503.815750000002</v>
      </c>
      <c r="K17" s="11">
        <v>30906.814750000001</v>
      </c>
      <c r="L17" s="11">
        <v>31134.754249999991</v>
      </c>
      <c r="M17" s="11">
        <v>30587.086500000001</v>
      </c>
      <c r="N17" s="11">
        <v>31276.491249999999</v>
      </c>
      <c r="O17" s="11">
        <v>30287.150999999991</v>
      </c>
    </row>
    <row r="18" spans="1:15" x14ac:dyDescent="0.2">
      <c r="A18" s="8" t="s">
        <v>192</v>
      </c>
      <c r="B18" t="s">
        <v>193</v>
      </c>
      <c r="D18" s="11">
        <v>40945.582750000001</v>
      </c>
      <c r="E18" s="11">
        <v>40066.060999999987</v>
      </c>
      <c r="F18" s="11">
        <v>40345.035250000001</v>
      </c>
      <c r="G18" s="11">
        <v>41687.395750000003</v>
      </c>
      <c r="H18" s="11">
        <v>38752.543999999987</v>
      </c>
      <c r="I18" s="11">
        <v>41219.472999999998</v>
      </c>
      <c r="J18" s="11">
        <v>42724.265249999997</v>
      </c>
      <c r="K18" s="11">
        <v>43729.738999999987</v>
      </c>
      <c r="L18" s="11">
        <v>40265.290249999998</v>
      </c>
      <c r="M18" s="11">
        <v>43590.72849999999</v>
      </c>
      <c r="N18" s="11">
        <v>41524.430999999997</v>
      </c>
      <c r="O18" s="11">
        <v>42805.117250000003</v>
      </c>
    </row>
    <row r="19" spans="1:15" x14ac:dyDescent="0.2">
      <c r="A19" s="8" t="s">
        <v>194</v>
      </c>
      <c r="B19" t="s">
        <v>195</v>
      </c>
      <c r="D19" s="11">
        <v>172685.75275000001</v>
      </c>
      <c r="E19" s="11">
        <v>177090.08549999999</v>
      </c>
      <c r="F19" s="11">
        <v>176591.997</v>
      </c>
      <c r="G19" s="11">
        <v>185373.64129999999</v>
      </c>
      <c r="H19" s="11">
        <v>178900.31529999999</v>
      </c>
      <c r="I19" s="11">
        <v>181140.92430000001</v>
      </c>
      <c r="J19" s="11">
        <v>176860.45254999999</v>
      </c>
      <c r="K19" s="11">
        <v>177814.42004999999</v>
      </c>
      <c r="L19" s="11">
        <v>176054.31054999999</v>
      </c>
      <c r="M19" s="11">
        <v>178370.45180000001</v>
      </c>
      <c r="N19" s="11">
        <v>175842.67879999999</v>
      </c>
      <c r="O19" s="11">
        <v>176142.51180000001</v>
      </c>
    </row>
    <row r="20" spans="1:15" x14ac:dyDescent="0.2">
      <c r="A20" s="8" t="s">
        <v>196</v>
      </c>
      <c r="B20" t="s">
        <v>197</v>
      </c>
      <c r="D20" s="11">
        <v>9028.26</v>
      </c>
      <c r="E20" s="11">
        <v>9028.26</v>
      </c>
      <c r="F20" s="11">
        <v>9028.26</v>
      </c>
      <c r="G20" s="11">
        <v>9389.3904000000002</v>
      </c>
      <c r="H20" s="11">
        <v>9389.3904000000002</v>
      </c>
      <c r="I20" s="11">
        <v>9389.3904000000002</v>
      </c>
      <c r="J20" s="11">
        <v>9389.3904000000002</v>
      </c>
      <c r="K20" s="11">
        <v>9389.3904000000002</v>
      </c>
      <c r="L20" s="11">
        <v>9389.3904000000002</v>
      </c>
      <c r="M20" s="11">
        <v>9389.3904000000002</v>
      </c>
      <c r="N20" s="11">
        <v>9389.3904000000002</v>
      </c>
      <c r="O20" s="11">
        <v>9389.3904000000002</v>
      </c>
    </row>
    <row r="21" spans="1:15" x14ac:dyDescent="0.2">
      <c r="A21" s="8" t="s">
        <v>198</v>
      </c>
      <c r="B21" t="s">
        <v>199</v>
      </c>
      <c r="D21" s="11">
        <v>0</v>
      </c>
      <c r="E21" s="11">
        <v>0</v>
      </c>
      <c r="F21" s="11">
        <v>0</v>
      </c>
      <c r="G21" s="11">
        <v>112672.6848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 spans="1:15" x14ac:dyDescent="0.2">
      <c r="A22" s="8" t="s">
        <v>200</v>
      </c>
      <c r="B22" t="s">
        <v>201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60000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</row>
    <row r="23" spans="1:15" x14ac:dyDescent="0.2">
      <c r="A23" s="8" t="s">
        <v>202</v>
      </c>
      <c r="B23" t="s">
        <v>203</v>
      </c>
      <c r="D23" s="11">
        <v>23245.84</v>
      </c>
      <c r="E23" s="11">
        <v>23245.84</v>
      </c>
      <c r="F23" s="11">
        <v>23245.84</v>
      </c>
      <c r="G23" s="11">
        <v>23245.84</v>
      </c>
      <c r="H23" s="11">
        <v>23245.84</v>
      </c>
      <c r="I23" s="11">
        <v>23245.84</v>
      </c>
      <c r="J23" s="11">
        <v>21662.71</v>
      </c>
      <c r="K23" s="11">
        <v>21662.51</v>
      </c>
      <c r="L23" s="11">
        <v>21662.51</v>
      </c>
      <c r="M23" s="11">
        <v>21662.51</v>
      </c>
      <c r="N23" s="11">
        <v>21662.51</v>
      </c>
      <c r="O23" s="11">
        <v>21662.51</v>
      </c>
    </row>
    <row r="24" spans="1:15" x14ac:dyDescent="0.2">
      <c r="A24" s="8" t="s">
        <v>204</v>
      </c>
      <c r="B24" t="s">
        <v>205</v>
      </c>
      <c r="D24" s="11">
        <v>16250</v>
      </c>
      <c r="E24" s="11">
        <v>16250</v>
      </c>
      <c r="F24" s="11">
        <v>16250</v>
      </c>
      <c r="G24" s="11">
        <v>16250</v>
      </c>
      <c r="H24" s="11">
        <v>16250</v>
      </c>
      <c r="I24" s="11">
        <v>16250</v>
      </c>
      <c r="J24" s="11">
        <v>16250</v>
      </c>
      <c r="K24" s="11">
        <v>16250</v>
      </c>
      <c r="L24" s="11">
        <v>16250</v>
      </c>
      <c r="M24" s="11">
        <v>16250</v>
      </c>
      <c r="N24" s="11">
        <v>16250</v>
      </c>
      <c r="O24" s="11">
        <v>16250</v>
      </c>
    </row>
    <row r="25" spans="1:15" x14ac:dyDescent="0.2">
      <c r="A25" s="8" t="s">
        <v>206</v>
      </c>
      <c r="B25" t="s">
        <v>207</v>
      </c>
      <c r="D25" s="11">
        <v>195000</v>
      </c>
      <c r="E25" s="11">
        <v>195000</v>
      </c>
      <c r="F25" s="11">
        <v>195000</v>
      </c>
      <c r="G25" s="11">
        <v>186250</v>
      </c>
      <c r="H25" s="11">
        <v>177500</v>
      </c>
      <c r="I25" s="11">
        <v>168750</v>
      </c>
      <c r="J25" s="11">
        <v>160000</v>
      </c>
      <c r="K25" s="11">
        <v>151250</v>
      </c>
      <c r="L25" s="11">
        <v>142500</v>
      </c>
      <c r="M25" s="11">
        <v>133750</v>
      </c>
      <c r="N25" s="11">
        <v>125000</v>
      </c>
      <c r="O25" s="11">
        <v>116250</v>
      </c>
    </row>
    <row r="26" spans="1:15" x14ac:dyDescent="0.2">
      <c r="A26" s="8" t="s">
        <v>208</v>
      </c>
      <c r="B26" t="s">
        <v>209</v>
      </c>
      <c r="D26" s="13">
        <v>0</v>
      </c>
      <c r="E26" s="13">
        <v>0</v>
      </c>
      <c r="F26" s="13">
        <v>1</v>
      </c>
      <c r="G26" s="13">
        <v>1</v>
      </c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</row>
    <row r="27" spans="1:15" x14ac:dyDescent="0.2">
      <c r="A27" s="8" t="s">
        <v>210</v>
      </c>
      <c r="B27" t="s">
        <v>211</v>
      </c>
      <c r="D27" s="13">
        <v>0</v>
      </c>
      <c r="E27" s="13">
        <v>0</v>
      </c>
      <c r="F27" s="13">
        <v>0</v>
      </c>
      <c r="G27" s="13">
        <v>1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</row>
    <row r="28" spans="1:15" x14ac:dyDescent="0.2">
      <c r="A28" s="8" t="s">
        <v>212</v>
      </c>
      <c r="B28" t="s">
        <v>213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 spans="1:15" x14ac:dyDescent="0.2">
      <c r="A29" s="8" t="s">
        <v>214</v>
      </c>
      <c r="B29" t="s">
        <v>215</v>
      </c>
      <c r="D29" s="13">
        <v>0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</row>
    <row r="30" spans="1:15" x14ac:dyDescent="0.2">
      <c r="A30" s="8" t="s">
        <v>216</v>
      </c>
      <c r="B30" t="s">
        <v>217</v>
      </c>
      <c r="D30" s="13">
        <v>1</v>
      </c>
      <c r="E30" s="13">
        <v>0</v>
      </c>
      <c r="F30" s="13">
        <v>0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9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58" customWidth="1"/>
    <col min="3" max="16" width="12.5" customWidth="1"/>
  </cols>
  <sheetData>
    <row r="1" spans="1:16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9" x14ac:dyDescent="0.25">
      <c r="A2" s="1" t="s">
        <v>218</v>
      </c>
    </row>
    <row r="3" spans="1:16" x14ac:dyDescent="0.2">
      <c r="A3" s="2" t="s">
        <v>219</v>
      </c>
    </row>
    <row r="5" spans="1:16" ht="32" x14ac:dyDescent="0.2">
      <c r="A5" s="6" t="s">
        <v>28</v>
      </c>
      <c r="B5" s="7" t="s">
        <v>153</v>
      </c>
      <c r="C5" s="7" t="s">
        <v>154</v>
      </c>
      <c r="D5" s="7" t="s">
        <v>155</v>
      </c>
      <c r="E5" s="7" t="s">
        <v>156</v>
      </c>
      <c r="F5" s="7" t="s">
        <v>157</v>
      </c>
      <c r="G5" s="7" t="s">
        <v>158</v>
      </c>
      <c r="H5" s="7" t="s">
        <v>159</v>
      </c>
      <c r="I5" s="7" t="s">
        <v>160</v>
      </c>
      <c r="J5" s="7" t="s">
        <v>161</v>
      </c>
      <c r="K5" s="7" t="s">
        <v>162</v>
      </c>
      <c r="L5" s="7" t="s">
        <v>163</v>
      </c>
      <c r="M5" s="7" t="s">
        <v>164</v>
      </c>
      <c r="N5" s="7" t="s">
        <v>165</v>
      </c>
      <c r="O5" s="7" t="s">
        <v>166</v>
      </c>
      <c r="P5" s="7" t="s">
        <v>167</v>
      </c>
    </row>
    <row r="7" spans="1:16" x14ac:dyDescent="0.2">
      <c r="A7" s="14" t="s">
        <v>220</v>
      </c>
    </row>
    <row r="8" spans="1:16" x14ac:dyDescent="0.2">
      <c r="A8" s="8" t="s">
        <v>221</v>
      </c>
      <c r="B8" t="s">
        <v>222</v>
      </c>
      <c r="D8" s="15">
        <f>D93*Assumptions!$H$25</f>
        <v>1041753.8663413946</v>
      </c>
      <c r="E8" s="15">
        <f>E93*Assumptions!$H$25</f>
        <v>1016759.4232349391</v>
      </c>
      <c r="F8" s="15">
        <f>F93*Assumptions!$H$25</f>
        <v>856631.51931783685</v>
      </c>
      <c r="G8" s="15">
        <f>G93*Assumptions!$H$25</f>
        <v>767468.72529881436</v>
      </c>
      <c r="H8" s="15">
        <f>H93*Assumptions!$H$25</f>
        <v>786627.52532559913</v>
      </c>
      <c r="I8" s="15">
        <f>I93*Assumptions!$H$25</f>
        <v>726568.70046932145</v>
      </c>
      <c r="J8" s="15">
        <f>J93*Assumptions!$H$25</f>
        <v>718158.37113151618</v>
      </c>
      <c r="K8" s="15">
        <f>K93*Assumptions!$H$25</f>
        <v>585826.55018148408</v>
      </c>
      <c r="L8" s="15">
        <f>L93*Assumptions!$H$25</f>
        <v>718612.04034890805</v>
      </c>
      <c r="M8" s="15">
        <f>M93*Assumptions!$H$25</f>
        <v>692159.63521174458</v>
      </c>
      <c r="N8" s="15">
        <f>N93*Assumptions!$H$25</f>
        <v>743354.46151282499</v>
      </c>
      <c r="O8" s="15">
        <f>O93*Assumptions!$H$25</f>
        <v>599541.319599565</v>
      </c>
      <c r="P8" s="15">
        <f t="shared" ref="P8:P36" si="0">SUM(D8:O8)</f>
        <v>9253462.1379739475</v>
      </c>
    </row>
    <row r="9" spans="1:16" x14ac:dyDescent="0.2">
      <c r="A9" s="8" t="s">
        <v>223</v>
      </c>
      <c r="B9" t="s">
        <v>224</v>
      </c>
      <c r="D9" s="15">
        <f>D100*Assumptions!$H$26</f>
        <v>517506.29483350622</v>
      </c>
      <c r="E9" s="15">
        <f>E100*Assumptions!$H$26</f>
        <v>412016.71473524108</v>
      </c>
      <c r="F9" s="15">
        <f>F100*Assumptions!$H$26</f>
        <v>241450.68488741419</v>
      </c>
      <c r="G9" s="15">
        <f>G100*Assumptions!$H$26</f>
        <v>290239.37702303642</v>
      </c>
      <c r="H9" s="15">
        <f>H100*Assumptions!$H$26</f>
        <v>286260.68328647263</v>
      </c>
      <c r="I9" s="15">
        <f>I100*Assumptions!$H$26</f>
        <v>270992.97077067185</v>
      </c>
      <c r="J9" s="15">
        <f>J100*Assumptions!$H$26</f>
        <v>360089.18529304338</v>
      </c>
      <c r="K9" s="15">
        <f>K100*Assumptions!$H$26</f>
        <v>411648.01634859334</v>
      </c>
      <c r="L9" s="15">
        <f>L100*Assumptions!$H$26</f>
        <v>294211.16481753101</v>
      </c>
      <c r="M9" s="15">
        <f>M100*Assumptions!$H$26</f>
        <v>264051.50707888947</v>
      </c>
      <c r="N9" s="15">
        <f>N100*Assumptions!$H$26</f>
        <v>263873.54415459657</v>
      </c>
      <c r="O9" s="15">
        <f>O100*Assumptions!$H$26</f>
        <v>276347.60622728459</v>
      </c>
      <c r="P9" s="15">
        <f t="shared" si="0"/>
        <v>3888687.7494562808</v>
      </c>
    </row>
    <row r="10" spans="1:16" x14ac:dyDescent="0.2">
      <c r="A10" s="8" t="s">
        <v>225</v>
      </c>
      <c r="B10" t="s">
        <v>226</v>
      </c>
      <c r="D10" s="15">
        <f>Drivers!D10*(1+Assumptions!$H$11)*(1+Assumptions!$H$15)</f>
        <v>49818.876254817827</v>
      </c>
      <c r="E10" s="15">
        <f>Drivers!E10*(1+Assumptions!$H$11)*(1+Assumptions!$H$15)</f>
        <v>28914.678452587901</v>
      </c>
      <c r="F10" s="15">
        <f>Drivers!F10*(1+Assumptions!$H$11)*(1+Assumptions!$H$15)</f>
        <v>28623.463481322291</v>
      </c>
      <c r="G10" s="15">
        <f>Drivers!G10*(1+Assumptions!$H$11)*(1+Assumptions!$H$15)</f>
        <v>31386.087824407688</v>
      </c>
      <c r="H10" s="15">
        <f>Drivers!H10*(1+Assumptions!$H$11)*(1+Assumptions!$H$15)</f>
        <v>26212.375944053329</v>
      </c>
      <c r="I10" s="15">
        <f>Drivers!I10*(1+Assumptions!$H$11)*(1+Assumptions!$H$15)</f>
        <v>42310.945849710428</v>
      </c>
      <c r="J10" s="15">
        <f>Drivers!J10*(1+Assumptions!$H$11)*(1+Assumptions!$H$15)</f>
        <v>60392.943200462971</v>
      </c>
      <c r="K10" s="15">
        <f>Drivers!K10*(1+Assumptions!$H$11)*(1+Assumptions!$H$15)</f>
        <v>65411.936974652403</v>
      </c>
      <c r="L10" s="15">
        <f>Drivers!L10*(1+Assumptions!$H$11)*(1+Assumptions!$H$15)</f>
        <v>72507.921762433951</v>
      </c>
      <c r="M10" s="15">
        <f>Drivers!M10*(1+Assumptions!$H$11)*(1+Assumptions!$H$15)</f>
        <v>59629.452957685782</v>
      </c>
      <c r="N10" s="15">
        <f>Drivers!N10*(1+Assumptions!$H$11)*(1+Assumptions!$H$15)</f>
        <v>62989.913169153893</v>
      </c>
      <c r="O10" s="15">
        <f>Drivers!O10*(1+Assumptions!$H$11)*(1+Assumptions!$H$15)</f>
        <v>53724.191131222316</v>
      </c>
      <c r="P10" s="15">
        <f t="shared" si="0"/>
        <v>581922.78700251074</v>
      </c>
    </row>
    <row r="11" spans="1:16" x14ac:dyDescent="0.2">
      <c r="A11" s="8" t="s">
        <v>227</v>
      </c>
      <c r="B11" t="s">
        <v>228</v>
      </c>
      <c r="D11" s="15">
        <f>Drivers!D11*(1+Assumptions!$H$11)</f>
        <v>53335.919168729197</v>
      </c>
      <c r="E11" s="15">
        <f>Drivers!E11*(1+Assumptions!$H$11)</f>
        <v>50974.558681785144</v>
      </c>
      <c r="F11" s="15">
        <f>Drivers!F11*(1+Assumptions!$H$11)</f>
        <v>36004.832122153734</v>
      </c>
      <c r="G11" s="15">
        <f>Drivers!G11*(1+Assumptions!$H$11)</f>
        <v>52279.429094072351</v>
      </c>
      <c r="H11" s="15">
        <f>Drivers!H11*(1+Assumptions!$H$11)</f>
        <v>46466.136292680232</v>
      </c>
      <c r="I11" s="15">
        <f>Drivers!I11*(1+Assumptions!$H$11)</f>
        <v>68420.978084541028</v>
      </c>
      <c r="J11" s="15">
        <f>Drivers!J11*(1+Assumptions!$H$11)</f>
        <v>69253.865751908466</v>
      </c>
      <c r="K11" s="15">
        <f>Drivers!K11*(1+Assumptions!$H$11)</f>
        <v>76289.369621640464</v>
      </c>
      <c r="L11" s="15">
        <f>Drivers!L11*(1+Assumptions!$H$11)</f>
        <v>61685.239235366127</v>
      </c>
      <c r="M11" s="15">
        <f>Drivers!M11*(1+Assumptions!$H$11)</f>
        <v>56157.116117256053</v>
      </c>
      <c r="N11" s="15">
        <f>Drivers!N11*(1+Assumptions!$H$11)</f>
        <v>73282.189627761545</v>
      </c>
      <c r="O11" s="15">
        <f>Drivers!O11*(1+Assumptions!$H$11)</f>
        <v>47150.977354988441</v>
      </c>
      <c r="P11" s="15">
        <f t="shared" si="0"/>
        <v>691300.61115288269</v>
      </c>
    </row>
    <row r="12" spans="1:16" x14ac:dyDescent="0.2">
      <c r="A12" s="8" t="s">
        <v>229</v>
      </c>
      <c r="B12" t="s">
        <v>230</v>
      </c>
      <c r="D12" s="15">
        <f>Drivers!D12*(1+Assumptions!$H$11)*(1+Assumptions!$H$15)</f>
        <v>44844.94</v>
      </c>
      <c r="E12" s="15">
        <f>Drivers!E12*(1+Assumptions!$H$11)*(1+Assumptions!$H$15)</f>
        <v>38056.74</v>
      </c>
      <c r="F12" s="15">
        <f>Drivers!F12*(1+Assumptions!$H$11)*(1+Assumptions!$H$15)</f>
        <v>22726.79</v>
      </c>
      <c r="G12" s="15">
        <f>Drivers!G12*(1+Assumptions!$H$11)*(1+Assumptions!$H$15)</f>
        <v>46911.53</v>
      </c>
      <c r="H12" s="15">
        <f>Drivers!H12*(1+Assumptions!$H$11)*(1+Assumptions!$H$15)</f>
        <v>29218.25</v>
      </c>
      <c r="I12" s="15">
        <f>Drivers!I12*(1+Assumptions!$H$11)*(1+Assumptions!$H$15)</f>
        <v>62981.53</v>
      </c>
      <c r="J12" s="15">
        <f>Drivers!J12*(1+Assumptions!$H$11)*(1+Assumptions!$H$15)</f>
        <v>77274.89</v>
      </c>
      <c r="K12" s="15">
        <f>Drivers!K12*(1+Assumptions!$H$11)*(1+Assumptions!$H$15)</f>
        <v>54051.37</v>
      </c>
      <c r="L12" s="15">
        <f>Drivers!L12*(1+Assumptions!$H$11)*(1+Assumptions!$H$15)</f>
        <v>86525.79</v>
      </c>
      <c r="M12" s="15">
        <f>Drivers!M12*(1+Assumptions!$H$11)*(1+Assumptions!$H$15)</f>
        <v>141310.65</v>
      </c>
      <c r="N12" s="15">
        <f>Drivers!N12*(1+Assumptions!$H$11)*(1+Assumptions!$H$15)</f>
        <v>74340.63</v>
      </c>
      <c r="O12" s="15">
        <f>Drivers!O12*(1+Assumptions!$H$11)*(1+Assumptions!$H$15)</f>
        <v>90328.55</v>
      </c>
      <c r="P12" s="15">
        <f t="shared" si="0"/>
        <v>768571.66</v>
      </c>
    </row>
    <row r="13" spans="1:16" x14ac:dyDescent="0.2">
      <c r="A13" s="16" t="s">
        <v>231</v>
      </c>
      <c r="B13" s="16" t="s">
        <v>232</v>
      </c>
      <c r="C13" s="16"/>
      <c r="D13" s="17">
        <f t="shared" ref="D13:O13" si="1">D8+D9+D10+D11+D12</f>
        <v>1707259.8965984478</v>
      </c>
      <c r="E13" s="17">
        <f t="shared" si="1"/>
        <v>1546722.1151045533</v>
      </c>
      <c r="F13" s="17">
        <f t="shared" si="1"/>
        <v>1185437.2898087273</v>
      </c>
      <c r="G13" s="17">
        <f t="shared" si="1"/>
        <v>1188285.149240331</v>
      </c>
      <c r="H13" s="17">
        <f t="shared" si="1"/>
        <v>1174784.9708488053</v>
      </c>
      <c r="I13" s="17">
        <f t="shared" si="1"/>
        <v>1171275.1251742446</v>
      </c>
      <c r="J13" s="17">
        <f t="shared" si="1"/>
        <v>1285169.2553769308</v>
      </c>
      <c r="K13" s="17">
        <f t="shared" si="1"/>
        <v>1193227.2431263705</v>
      </c>
      <c r="L13" s="17">
        <f t="shared" si="1"/>
        <v>1233542.1561642392</v>
      </c>
      <c r="M13" s="17">
        <f t="shared" si="1"/>
        <v>1213308.3613655758</v>
      </c>
      <c r="N13" s="17">
        <f t="shared" si="1"/>
        <v>1217840.7384643368</v>
      </c>
      <c r="O13" s="17">
        <f t="shared" si="1"/>
        <v>1067092.6443130604</v>
      </c>
      <c r="P13" s="17">
        <f t="shared" si="0"/>
        <v>15183944.945585623</v>
      </c>
    </row>
    <row r="14" spans="1:16" x14ac:dyDescent="0.2">
      <c r="A14" s="8" t="s">
        <v>233</v>
      </c>
      <c r="B14" t="s">
        <v>234</v>
      </c>
      <c r="D14" s="15">
        <f>-Assumptions!$H$34*D13</f>
        <v>-12548.80017711753</v>
      </c>
      <c r="E14" s="15">
        <f>-Assumptions!$H$34*E13</f>
        <v>-11368.806114784986</v>
      </c>
      <c r="F14" s="15">
        <f>-Assumptions!$H$34*F13</f>
        <v>-8713.2695507884437</v>
      </c>
      <c r="G14" s="15">
        <f>-Assumptions!$H$34*G13</f>
        <v>-8734.2020514644773</v>
      </c>
      <c r="H14" s="15">
        <f>-Assumptions!$H$34*H13</f>
        <v>-8634.972261478646</v>
      </c>
      <c r="I14" s="15">
        <f>-Assumptions!$H$34*I13</f>
        <v>-8609.1739913322344</v>
      </c>
      <c r="J14" s="15">
        <f>-Assumptions!$H$34*J13</f>
        <v>-9446.3251972545022</v>
      </c>
      <c r="K14" s="15">
        <f>-Assumptions!$H$34*K13</f>
        <v>-8770.5277150356942</v>
      </c>
      <c r="L14" s="15">
        <f>-Assumptions!$H$34*L13</f>
        <v>-9066.8527144561376</v>
      </c>
      <c r="M14" s="15">
        <f>-Assumptions!$H$34*M13</f>
        <v>-8918.1291087185946</v>
      </c>
      <c r="N14" s="15">
        <f>-Assumptions!$H$34*N13</f>
        <v>-8951.4432483250002</v>
      </c>
      <c r="O14" s="15">
        <f>-Assumptions!$H$34*O13</f>
        <v>-7843.405910626906</v>
      </c>
      <c r="P14" s="15">
        <f t="shared" si="0"/>
        <v>-111605.90804138315</v>
      </c>
    </row>
    <row r="15" spans="1:16" x14ac:dyDescent="0.2">
      <c r="A15" s="16" t="s">
        <v>235</v>
      </c>
      <c r="B15" s="16" t="s">
        <v>236</v>
      </c>
      <c r="C15" s="16"/>
      <c r="D15" s="17">
        <f t="shared" ref="D15:O15" si="2">D13+D14</f>
        <v>1694711.0964213302</v>
      </c>
      <c r="E15" s="17">
        <f t="shared" si="2"/>
        <v>1535353.3089897684</v>
      </c>
      <c r="F15" s="17">
        <f t="shared" si="2"/>
        <v>1176724.0202579389</v>
      </c>
      <c r="G15" s="17">
        <f t="shared" si="2"/>
        <v>1179550.9471888666</v>
      </c>
      <c r="H15" s="17">
        <f t="shared" si="2"/>
        <v>1166149.9985873266</v>
      </c>
      <c r="I15" s="17">
        <f t="shared" si="2"/>
        <v>1162665.9511829123</v>
      </c>
      <c r="J15" s="17">
        <f t="shared" si="2"/>
        <v>1275722.9301796763</v>
      </c>
      <c r="K15" s="17">
        <f t="shared" si="2"/>
        <v>1184456.7154113348</v>
      </c>
      <c r="L15" s="17">
        <f t="shared" si="2"/>
        <v>1224475.303449783</v>
      </c>
      <c r="M15" s="17">
        <f t="shared" si="2"/>
        <v>1204390.2322568572</v>
      </c>
      <c r="N15" s="17">
        <f t="shared" si="2"/>
        <v>1208889.2952160118</v>
      </c>
      <c r="O15" s="17">
        <f t="shared" si="2"/>
        <v>1059249.2384024335</v>
      </c>
      <c r="P15" s="17">
        <f t="shared" si="0"/>
        <v>15072339.037544243</v>
      </c>
    </row>
    <row r="16" spans="1:16" x14ac:dyDescent="0.2">
      <c r="A16" s="8" t="s">
        <v>237</v>
      </c>
      <c r="B16" t="s">
        <v>238</v>
      </c>
      <c r="D16" s="15">
        <f>-(Drivers!D13+Assumptions!$H$14*Drivers!D26*Assumptions!$H$43+D94*Assumptions!$H$38+D101*Assumptions!$H$39+Assumptions!$H$15*(Drivers!D10+Drivers!D12)*Assumptions!$H$44)</f>
        <v>-273753.93736405444</v>
      </c>
      <c r="E16" s="15">
        <f>-(Drivers!E13+Assumptions!$H$14*Drivers!E26*Assumptions!$H$43+E94*Assumptions!$H$38+E101*Assumptions!$H$39+Assumptions!$H$15*(Drivers!E10+Drivers!E12)*Assumptions!$H$44)</f>
        <v>-239427.16726840514</v>
      </c>
      <c r="F16" s="15">
        <f>-(Drivers!F13+Assumptions!$H$14*Drivers!F26*Assumptions!$H$43+F94*Assumptions!$H$38+F101*Assumptions!$H$39+Assumptions!$H$15*(Drivers!F10+Drivers!F12)*Assumptions!$H$44)</f>
        <v>-262376.16042896739</v>
      </c>
      <c r="G16" s="15">
        <f>-(Drivers!G13+Assumptions!$H$14*Drivers!G26*Assumptions!$H$43+G94*Assumptions!$H$38+G101*Assumptions!$H$39+Assumptions!$H$15*(Drivers!G10+Drivers!G12)*Assumptions!$H$44)</f>
        <v>-265534.82554500003</v>
      </c>
      <c r="H16" s="15">
        <f>-(Drivers!H13+Assumptions!$H$14*Drivers!H26*Assumptions!$H$43+H94*Assumptions!$H$38+H101*Assumptions!$H$39+Assumptions!$H$15*(Drivers!H10+Drivers!H12)*Assumptions!$H$44)</f>
        <v>-244269.22461</v>
      </c>
      <c r="I16" s="15">
        <f>-(Drivers!I13+Assumptions!$H$14*Drivers!I26*Assumptions!$H$43+I94*Assumptions!$H$38+I101*Assumptions!$H$39+Assumptions!$H$15*(Drivers!I10+Drivers!I12)*Assumptions!$H$44)</f>
        <v>-282315.26984999998</v>
      </c>
      <c r="J16" s="15">
        <f>-(Drivers!J13+Assumptions!$H$14*Drivers!J26*Assumptions!$H$43+J94*Assumptions!$H$38+J101*Assumptions!$H$39+Assumptions!$H$15*(Drivers!J10+Drivers!J12)*Assumptions!$H$44)</f>
        <v>-269633.25477</v>
      </c>
      <c r="K16" s="15">
        <f>-(Drivers!K13+Assumptions!$H$14*Drivers!K26*Assumptions!$H$43+K94*Assumptions!$H$38+K101*Assumptions!$H$39+Assumptions!$H$15*(Drivers!K10+Drivers!K12)*Assumptions!$H$44)</f>
        <v>-257892.31309499999</v>
      </c>
      <c r="L16" s="15">
        <f>-(Drivers!L13+Assumptions!$H$14*Drivers!L26*Assumptions!$H$43+L94*Assumptions!$H$38+L101*Assumptions!$H$39+Assumptions!$H$15*(Drivers!L10+Drivers!L12)*Assumptions!$H$44)</f>
        <v>-290733.36920999998</v>
      </c>
      <c r="M16" s="15">
        <f>-(Drivers!M13+Assumptions!$H$14*Drivers!M26*Assumptions!$H$43+M94*Assumptions!$H$38+M101*Assumptions!$H$39+Assumptions!$H$15*(Drivers!M10+Drivers!M12)*Assumptions!$H$44)</f>
        <v>-290733.36920999998</v>
      </c>
      <c r="N16" s="15">
        <f>-(Drivers!N13+Assumptions!$H$14*Drivers!N26*Assumptions!$H$43+N94*Assumptions!$H$38+N101*Assumptions!$H$39+Assumptions!$H$15*(Drivers!N10+Drivers!N12)*Assumptions!$H$44)</f>
        <v>-278383.10888999997</v>
      </c>
      <c r="O16" s="15">
        <f>-(Drivers!O13+Assumptions!$H$14*Drivers!O26*Assumptions!$H$43+O94*Assumptions!$H$38+O101*Assumptions!$H$39+Assumptions!$H$15*(Drivers!O10+Drivers!O12)*Assumptions!$H$44)</f>
        <v>-277668.71324999997</v>
      </c>
      <c r="P16" s="15">
        <f t="shared" si="0"/>
        <v>-3232720.7134914272</v>
      </c>
    </row>
    <row r="17" spans="1:16" x14ac:dyDescent="0.2">
      <c r="A17" s="8" t="s">
        <v>239</v>
      </c>
      <c r="B17" t="s">
        <v>240</v>
      </c>
      <c r="D17" s="15">
        <f>-(D8*Assumptions!$H$27+D9*Assumptions!$H$28+(D10+D11+D12)*Assumptions!$H$29)*(1+Assumptions!$H$9)</f>
        <v>-622455.9522130905</v>
      </c>
      <c r="E17" s="15">
        <f>-(E8*Assumptions!$H$27+E9*Assumptions!$H$28+(E10+E11+E12)*Assumptions!$H$29)*(1+Assumptions!$H$9)</f>
        <v>-570106.06304526899</v>
      </c>
      <c r="F17" s="15">
        <f>-(F8*Assumptions!$H$27+F9*Assumptions!$H$28+(F10+F11+F12)*Assumptions!$H$29)*(1+Assumptions!$H$9)</f>
        <v>-441625.81587685796</v>
      </c>
      <c r="G17" s="15">
        <f>-(G8*Assumptions!$H$27+G9*Assumptions!$H$28+(G10+G11+G12)*Assumptions!$H$29)*(1+Assumptions!$H$9)</f>
        <v>-431926.13649129309</v>
      </c>
      <c r="H17" s="15">
        <f>-(H8*Assumptions!$H$27+H9*Assumptions!$H$28+(H10+H11+H12)*Assumptions!$H$29)*(1+Assumptions!$H$9)</f>
        <v>-432173.68510357046</v>
      </c>
      <c r="I17" s="15">
        <f>-(I8*Assumptions!$H$27+I9*Assumptions!$H$28+(I10+I11+I12)*Assumptions!$H$29)*(1+Assumptions!$H$9)</f>
        <v>-418110.79899686901</v>
      </c>
      <c r="J17" s="15">
        <f>-(J8*Assumptions!$H$27+J9*Assumptions!$H$28+(J10+J11+J12)*Assumptions!$H$29)*(1+Assumptions!$H$9)</f>
        <v>-452225.226717885</v>
      </c>
      <c r="K17" s="15">
        <f>-(K8*Assumptions!$H$27+K9*Assumptions!$H$28+(K10+K11+K12)*Assumptions!$H$29)*(1+Assumptions!$H$9)</f>
        <v>-414909.72144372336</v>
      </c>
      <c r="L17" s="15">
        <f>-(L8*Assumptions!$H$27+L9*Assumptions!$H$28+(L10+L11+L12)*Assumptions!$H$29)*(1+Assumptions!$H$9)</f>
        <v>-432744.21773852891</v>
      </c>
      <c r="M17" s="15">
        <f>-(M8*Assumptions!$H$27+M9*Assumptions!$H$28+(M10+M11+M12)*Assumptions!$H$29)*(1+Assumptions!$H$9)</f>
        <v>-419522.35385469929</v>
      </c>
      <c r="N17" s="15">
        <f>-(N8*Assumptions!$H$27+N9*Assumptions!$H$28+(N10+N11+N12)*Assumptions!$H$29)*(1+Assumptions!$H$9)</f>
        <v>-430080.5339371977</v>
      </c>
      <c r="O17" s="15">
        <f>-(O8*Assumptions!$H$27+O9*Assumptions!$H$28+(O10+O11+O12)*Assumptions!$H$29)*(1+Assumptions!$H$9)</f>
        <v>-373092.47747512389</v>
      </c>
      <c r="P17" s="15">
        <f t="shared" si="0"/>
        <v>-5438972.9828941086</v>
      </c>
    </row>
    <row r="18" spans="1:16" x14ac:dyDescent="0.2">
      <c r="A18" s="8" t="s">
        <v>241</v>
      </c>
      <c r="B18" t="s">
        <v>242</v>
      </c>
      <c r="D18" s="15">
        <f>-(D8*Assumptions!$H$30+(D10+D12)*Assumptions!$H$31)</f>
        <v>-40848.187157168708</v>
      </c>
      <c r="E18" s="15">
        <f>-(E8*Assumptions!$H$30+(E10+E12)*Assumptions!$H$31)</f>
        <v>-38799.71252733533</v>
      </c>
      <c r="F18" s="15">
        <f>-(F8*Assumptions!$H$30+(F10+F12)*Assumptions!$H$31)</f>
        <v>-32475.953533421391</v>
      </c>
      <c r="G18" s="15">
        <f>-(G8*Assumptions!$H$30+(G10+G12)*Assumptions!$H$31)</f>
        <v>-30452.880176997303</v>
      </c>
      <c r="H18" s="15">
        <f>-(H8*Assumptions!$H$30+(H10+H12)*Assumptions!$H$31)</f>
        <v>-30169.875756583369</v>
      </c>
      <c r="I18" s="15">
        <f>-(I8*Assumptions!$H$30+(I10+I12)*Assumptions!$H$31)</f>
        <v>-30139.911349228249</v>
      </c>
      <c r="J18" s="15">
        <f>-(J8*Assumptions!$H$30+(J10+J12)*Assumptions!$H$31)</f>
        <v>-31202.948112372669</v>
      </c>
      <c r="K18" s="15">
        <f>-(K8*Assumptions!$H$30+(K10+K12)*Assumptions!$H$31)</f>
        <v>-25754.368482467646</v>
      </c>
      <c r="L18" s="15">
        <f>-(L8*Assumptions!$H$30+(L10+L12)*Assumptions!$H$31)</f>
        <v>-32116.984173095851</v>
      </c>
      <c r="M18" s="15">
        <f>-(M8*Assumptions!$H$30+(M10+M12)*Assumptions!$H$31)</f>
        <v>-32942.055451177992</v>
      </c>
      <c r="N18" s="15">
        <f>-(N8*Assumptions!$H$30+(N10+N12)*Assumptions!$H$31)</f>
        <v>-32080.508372025659</v>
      </c>
      <c r="O18" s="15">
        <f>-(O8*Assumptions!$H$30+(O10+O12)*Assumptions!$H$31)</f>
        <v>-27273.22115821264</v>
      </c>
      <c r="P18" s="15">
        <f t="shared" si="0"/>
        <v>-384256.6062500868</v>
      </c>
    </row>
    <row r="19" spans="1:16" x14ac:dyDescent="0.2">
      <c r="A19" s="8" t="s">
        <v>243</v>
      </c>
      <c r="B19" t="s">
        <v>244</v>
      </c>
      <c r="D19" s="15">
        <f>-(D8*Assumptions!$H$32+D9*Assumptions!$H$33)</f>
        <v>-21824.505084519438</v>
      </c>
      <c r="E19" s="15">
        <f>-(E8*Assumptions!$H$32+E9*Assumptions!$H$33)</f>
        <v>-20144.856273323436</v>
      </c>
      <c r="F19" s="15">
        <f>-(F8*Assumptions!$H$32+F9*Assumptions!$H$33)</f>
        <v>-15659.692408850711</v>
      </c>
      <c r="G19" s="15">
        <f>-(G8*Assumptions!$H$32+G9*Assumptions!$H$33)</f>
        <v>-14947.877189143306</v>
      </c>
      <c r="H19" s="15">
        <f>-(H8*Assumptions!$H$32+H9*Assumptions!$H$33)</f>
        <v>-15181.620585827259</v>
      </c>
      <c r="I19" s="15">
        <f>-(I8*Assumptions!$H$32+I9*Assumptions!$H$33)</f>
        <v>-14104.336824842587</v>
      </c>
      <c r="J19" s="15">
        <f>-(J8*Assumptions!$H$32+J9*Assumptions!$H$33)</f>
        <v>-15086.659060640959</v>
      </c>
      <c r="K19" s="15">
        <f>-(K8*Assumptions!$H$32+K9*Assumptions!$H$33)</f>
        <v>-13771.226006965866</v>
      </c>
      <c r="L19" s="15">
        <f>-(L8*Assumptions!$H$32+L9*Assumptions!$H$33)</f>
        <v>-14275.122721499753</v>
      </c>
      <c r="M19" s="15">
        <f>-(M8*Assumptions!$H$32+M9*Assumptions!$H$33)</f>
        <v>-13509.564966610349</v>
      </c>
      <c r="N19" s="15">
        <f>-(N8*Assumptions!$H$32+N9*Assumptions!$H$33)</f>
        <v>-14263.99782168584</v>
      </c>
      <c r="O19" s="15">
        <f>-(O8*Assumptions!$H$32+O9*Assumptions!$H$33)</f>
        <v>-12293.420061787196</v>
      </c>
      <c r="P19" s="15">
        <f t="shared" si="0"/>
        <v>-185062.87900569668</v>
      </c>
    </row>
    <row r="20" spans="1:16" x14ac:dyDescent="0.2">
      <c r="A20" s="8" t="s">
        <v>245</v>
      </c>
      <c r="B20" t="s">
        <v>246</v>
      </c>
      <c r="D20" s="15">
        <f>-Assumptions!$H$35*D15</f>
        <v>-1525.2130812159801</v>
      </c>
      <c r="E20" s="15">
        <f>-Assumptions!$H$35*E15</f>
        <v>-1381.7936025228244</v>
      </c>
      <c r="F20" s="15">
        <f>-Assumptions!$H$35*F15</f>
        <v>-1059.0329363325675</v>
      </c>
      <c r="G20" s="15">
        <f>-Assumptions!$H$35*G15</f>
        <v>-1061.5771256895603</v>
      </c>
      <c r="H20" s="15">
        <f>-Assumptions!$H$35*H15</f>
        <v>-1049.5164847042427</v>
      </c>
      <c r="I20" s="15">
        <f>-Assumptions!$H$35*I15</f>
        <v>-1046.3808973536845</v>
      </c>
      <c r="J20" s="15">
        <f>-Assumptions!$H$35*J15</f>
        <v>-1148.1303835361687</v>
      </c>
      <c r="K20" s="15">
        <f>-Assumptions!$H$35*K15</f>
        <v>-1065.9922392048506</v>
      </c>
      <c r="L20" s="15">
        <f>-Assumptions!$H$35*L15</f>
        <v>-1102.0083330965613</v>
      </c>
      <c r="M20" s="15">
        <f>-Assumptions!$H$35*M15</f>
        <v>-1083.9320878974274</v>
      </c>
      <c r="N20" s="15">
        <f>-Assumptions!$H$35*N15</f>
        <v>-1087.9811731326674</v>
      </c>
      <c r="O20" s="15">
        <f>-Assumptions!$H$35*O15</f>
        <v>-953.3074977151141</v>
      </c>
      <c r="P20" s="15">
        <f t="shared" si="0"/>
        <v>-13564.865842401648</v>
      </c>
    </row>
    <row r="21" spans="1:16" x14ac:dyDescent="0.2">
      <c r="A21" s="8" t="s">
        <v>247</v>
      </c>
      <c r="B21" t="s">
        <v>248</v>
      </c>
      <c r="D21" s="15">
        <f>Assumptions!$H$12*(D15+D16+D17+D18+D19+D20)</f>
        <v>0</v>
      </c>
      <c r="E21" s="15">
        <f>Assumptions!$H$12*(E15+E16+E17+E18+E19+E20)</f>
        <v>0</v>
      </c>
      <c r="F21" s="15">
        <f>Assumptions!$H$12*(F15+F16+F17+F18+F19+F20)</f>
        <v>0</v>
      </c>
      <c r="G21" s="15">
        <f>Assumptions!$H$12*(G15+G16+G17+G18+G19+G20)</f>
        <v>0</v>
      </c>
      <c r="H21" s="15">
        <f>Assumptions!$H$12*(H15+H16+H17+H18+H19+H20)</f>
        <v>0</v>
      </c>
      <c r="I21" s="15">
        <f>Assumptions!$H$12*(I15+I16+I17+I18+I19+I20)</f>
        <v>0</v>
      </c>
      <c r="J21" s="15">
        <f>Assumptions!$H$12*(J15+J16+J17+J18+J19+J20)</f>
        <v>0</v>
      </c>
      <c r="K21" s="15">
        <f>Assumptions!$H$12*(K15+K16+K17+K18+K19+K20)</f>
        <v>0</v>
      </c>
      <c r="L21" s="15">
        <f>Assumptions!$H$12*(L15+L16+L17+L18+L19+L20)</f>
        <v>0</v>
      </c>
      <c r="M21" s="15">
        <f>Assumptions!$H$12*(M15+M16+M17+M18+M19+M20)</f>
        <v>0</v>
      </c>
      <c r="N21" s="15">
        <f>Assumptions!$H$12*(N15+N16+N17+N18+N19+N20)</f>
        <v>0</v>
      </c>
      <c r="O21" s="15">
        <f>Assumptions!$H$12*(O15+O16+O17+O18+O19+O20)</f>
        <v>0</v>
      </c>
      <c r="P21" s="15">
        <f t="shared" si="0"/>
        <v>0</v>
      </c>
    </row>
    <row r="22" spans="1:16" x14ac:dyDescent="0.2">
      <c r="A22" s="16" t="s">
        <v>249</v>
      </c>
      <c r="B22" s="16" t="s">
        <v>250</v>
      </c>
      <c r="C22" s="16"/>
      <c r="D22" s="17">
        <f t="shared" ref="D22:O22" si="3">D16+D17+D18+D19+D20+D21</f>
        <v>-960407.79490004911</v>
      </c>
      <c r="E22" s="17">
        <f t="shared" si="3"/>
        <v>-869859.5927168557</v>
      </c>
      <c r="F22" s="17">
        <f t="shared" si="3"/>
        <v>-753196.65518443007</v>
      </c>
      <c r="G22" s="17">
        <f t="shared" si="3"/>
        <v>-743923.29652812332</v>
      </c>
      <c r="H22" s="17">
        <f t="shared" si="3"/>
        <v>-722843.92254068539</v>
      </c>
      <c r="I22" s="17">
        <f t="shared" si="3"/>
        <v>-745716.69791829353</v>
      </c>
      <c r="J22" s="17">
        <f t="shared" si="3"/>
        <v>-769296.21904443484</v>
      </c>
      <c r="K22" s="17">
        <f t="shared" si="3"/>
        <v>-713393.62126736157</v>
      </c>
      <c r="L22" s="17">
        <f t="shared" si="3"/>
        <v>-770971.70217622106</v>
      </c>
      <c r="M22" s="17">
        <f t="shared" si="3"/>
        <v>-757791.27557038504</v>
      </c>
      <c r="N22" s="17">
        <f t="shared" si="3"/>
        <v>-755896.13019404188</v>
      </c>
      <c r="O22" s="17">
        <f t="shared" si="3"/>
        <v>-691281.13944283884</v>
      </c>
      <c r="P22" s="17">
        <f t="shared" si="0"/>
        <v>-9254578.0474837199</v>
      </c>
    </row>
    <row r="23" spans="1:16" x14ac:dyDescent="0.2">
      <c r="A23" s="16" t="s">
        <v>251</v>
      </c>
      <c r="B23" s="16" t="s">
        <v>252</v>
      </c>
      <c r="C23" s="16"/>
      <c r="D23" s="17">
        <f t="shared" ref="D23:O23" si="4">D15+D22</f>
        <v>734303.30152128113</v>
      </c>
      <c r="E23" s="17">
        <f t="shared" si="4"/>
        <v>665493.71627291269</v>
      </c>
      <c r="F23" s="17">
        <f t="shared" si="4"/>
        <v>423527.36507350882</v>
      </c>
      <c r="G23" s="17">
        <f t="shared" si="4"/>
        <v>435627.65066074324</v>
      </c>
      <c r="H23" s="17">
        <f t="shared" si="4"/>
        <v>443306.07604664122</v>
      </c>
      <c r="I23" s="17">
        <f t="shared" si="4"/>
        <v>416949.2532646188</v>
      </c>
      <c r="J23" s="17">
        <f t="shared" si="4"/>
        <v>506426.71113524144</v>
      </c>
      <c r="K23" s="17">
        <f t="shared" si="4"/>
        <v>471063.0941439732</v>
      </c>
      <c r="L23" s="17">
        <f t="shared" si="4"/>
        <v>453503.60127356194</v>
      </c>
      <c r="M23" s="17">
        <f t="shared" si="4"/>
        <v>446598.95668647217</v>
      </c>
      <c r="N23" s="17">
        <f t="shared" si="4"/>
        <v>452993.16502196994</v>
      </c>
      <c r="O23" s="17">
        <f t="shared" si="4"/>
        <v>367968.09895959462</v>
      </c>
      <c r="P23" s="17">
        <f t="shared" si="0"/>
        <v>5817760.9900605204</v>
      </c>
    </row>
    <row r="24" spans="1:16" x14ac:dyDescent="0.2">
      <c r="A24" s="8" t="s">
        <v>253</v>
      </c>
      <c r="B24" t="s">
        <v>254</v>
      </c>
      <c r="D24" s="15">
        <f>-Drivers!D14*(1+Assumptions!$H$16)</f>
        <v>-141220.64259999999</v>
      </c>
      <c r="E24" s="15">
        <f>-Drivers!E14*(1+Assumptions!$H$16)</f>
        <v>-141220.64259999999</v>
      </c>
      <c r="F24" s="15">
        <f>-Drivers!F14*(1+Assumptions!$H$16)</f>
        <v>-141220.64259999999</v>
      </c>
      <c r="G24" s="15">
        <f>-Drivers!G14*(1+Assumptions!$H$16)</f>
        <v>-145457.2592</v>
      </c>
      <c r="H24" s="15">
        <f>-Drivers!H14*(1+Assumptions!$H$16)</f>
        <v>-145457.2592</v>
      </c>
      <c r="I24" s="15">
        <f>-Drivers!I14*(1+Assumptions!$H$16)</f>
        <v>-145457.2592</v>
      </c>
      <c r="J24" s="15">
        <f>-Drivers!J14*(1+Assumptions!$H$16)</f>
        <v>-145457.2592</v>
      </c>
      <c r="K24" s="15">
        <f>-Drivers!K14*(1+Assumptions!$H$16)</f>
        <v>-145457.2592</v>
      </c>
      <c r="L24" s="15">
        <f>-Drivers!L14*(1+Assumptions!$H$16)</f>
        <v>-145457.2592</v>
      </c>
      <c r="M24" s="15">
        <f>-Drivers!M14*(1+Assumptions!$H$16)</f>
        <v>-145457.2592</v>
      </c>
      <c r="N24" s="15">
        <f>-Drivers!N14*(1+Assumptions!$H$16)</f>
        <v>-145457.2592</v>
      </c>
      <c r="O24" s="15">
        <f>-Drivers!O14*(1+Assumptions!$H$16)</f>
        <v>-145457.2592</v>
      </c>
      <c r="P24" s="15">
        <f t="shared" si="0"/>
        <v>-1732777.2605999997</v>
      </c>
    </row>
    <row r="25" spans="1:16" x14ac:dyDescent="0.2">
      <c r="A25" s="8" t="s">
        <v>255</v>
      </c>
      <c r="B25" t="s">
        <v>256</v>
      </c>
      <c r="D25" s="15">
        <f>-Drivers!D15</f>
        <v>-99702.616249999992</v>
      </c>
      <c r="E25" s="15">
        <f>-Drivers!E15</f>
        <v>-104967.13924999999</v>
      </c>
      <c r="F25" s="15">
        <f>-Drivers!F15</f>
        <v>-105416.80675</v>
      </c>
      <c r="G25" s="15">
        <f>-Drivers!G15</f>
        <v>-108921.58705</v>
      </c>
      <c r="H25" s="15">
        <f>-Drivers!H15</f>
        <v>-108259.4473</v>
      </c>
      <c r="I25" s="15">
        <f>-Drivers!I15</f>
        <v>-108749.0488</v>
      </c>
      <c r="J25" s="15">
        <f>-Drivers!J15</f>
        <v>-102371.75505000001</v>
      </c>
      <c r="K25" s="15">
        <f>-Drivers!K15</f>
        <v>-102558.95080000001</v>
      </c>
      <c r="L25" s="15">
        <f>-Drivers!L15</f>
        <v>-102699.7448</v>
      </c>
      <c r="M25" s="15">
        <f>-Drivers!M15</f>
        <v>-102658.64230000001</v>
      </c>
      <c r="N25" s="15">
        <f>-Drivers!N15</f>
        <v>-102532.7723</v>
      </c>
      <c r="O25" s="15">
        <f>-Drivers!O15</f>
        <v>-102666.4938</v>
      </c>
      <c r="P25" s="15">
        <f t="shared" si="0"/>
        <v>-1251505.0044500001</v>
      </c>
    </row>
    <row r="26" spans="1:16" x14ac:dyDescent="0.2">
      <c r="A26" s="8" t="s">
        <v>257</v>
      </c>
      <c r="B26" t="s">
        <v>258</v>
      </c>
      <c r="D26" s="15">
        <f>-Drivers!D16*(1+Assumptions!$H$16)</f>
        <v>-10799.994500000001</v>
      </c>
      <c r="E26" s="15">
        <f>-Drivers!E16*(1+Assumptions!$H$16)</f>
        <v>-10686.6705</v>
      </c>
      <c r="F26" s="15">
        <f>-Drivers!F16*(1+Assumptions!$H$16)</f>
        <v>-10359.2855</v>
      </c>
      <c r="G26" s="15">
        <f>-Drivers!G16*(1+Assumptions!$H$16)</f>
        <v>-9703.9619999999995</v>
      </c>
      <c r="H26" s="15">
        <f>-Drivers!H16*(1+Assumptions!$H$16)</f>
        <v>-10590.86375</v>
      </c>
      <c r="I26" s="15">
        <f>-Drivers!I16*(1+Assumptions!$H$16)</f>
        <v>-9425.0902499999975</v>
      </c>
      <c r="J26" s="15">
        <f>-Drivers!J16*(1+Assumptions!$H$16)</f>
        <v>-9514.5829999999987</v>
      </c>
      <c r="K26" s="15">
        <f>-Drivers!K16*(1+Assumptions!$H$16)</f>
        <v>-9872.8819999999996</v>
      </c>
      <c r="L26" s="15">
        <f>-Drivers!L16*(1+Assumptions!$H$16)</f>
        <v>-11208.48775</v>
      </c>
      <c r="M26" s="15">
        <f>-Drivers!M16*(1+Assumptions!$H$16)</f>
        <v>-10787.960999999999</v>
      </c>
      <c r="N26" s="15">
        <f>-Drivers!N16*(1+Assumptions!$H$16)</f>
        <v>-9762.95075</v>
      </c>
      <c r="O26" s="15">
        <f>-Drivers!O16*(1+Assumptions!$H$16)</f>
        <v>-9637.7162499999995</v>
      </c>
      <c r="P26" s="15">
        <f t="shared" si="0"/>
        <v>-122350.44724999998</v>
      </c>
    </row>
    <row r="27" spans="1:16" x14ac:dyDescent="0.2">
      <c r="A27" s="8" t="s">
        <v>259</v>
      </c>
      <c r="B27" t="s">
        <v>191</v>
      </c>
      <c r="D27" s="15">
        <f>-Drivers!D17*(1+Assumptions!$H$16)</f>
        <v>-30221.991750000001</v>
      </c>
      <c r="E27" s="15">
        <f>-Drivers!E17*(1+Assumptions!$H$16)</f>
        <v>-30354.647250000002</v>
      </c>
      <c r="F27" s="15">
        <f>-Drivers!F17*(1+Assumptions!$H$16)</f>
        <v>-29455.302</v>
      </c>
      <c r="G27" s="15">
        <f>-Drivers!G17*(1+Assumptions!$H$16)</f>
        <v>-34314.663</v>
      </c>
      <c r="H27" s="15">
        <f>-Drivers!H17*(1+Assumptions!$H$16)</f>
        <v>-30551.426749999999</v>
      </c>
      <c r="I27" s="15">
        <f>-Drivers!I17*(1+Assumptions!$H$16)</f>
        <v>-31001.27874999999</v>
      </c>
      <c r="J27" s="15">
        <f>-Drivers!J17*(1+Assumptions!$H$16)</f>
        <v>-31503.815750000002</v>
      </c>
      <c r="K27" s="15">
        <f>-Drivers!K17*(1+Assumptions!$H$16)</f>
        <v>-30906.814750000001</v>
      </c>
      <c r="L27" s="15">
        <f>-Drivers!L17*(1+Assumptions!$H$16)</f>
        <v>-31134.754249999991</v>
      </c>
      <c r="M27" s="15">
        <f>-Drivers!M17*(1+Assumptions!$H$16)</f>
        <v>-30587.086500000001</v>
      </c>
      <c r="N27" s="15">
        <f>-Drivers!N17*(1+Assumptions!$H$16)</f>
        <v>-31276.491249999999</v>
      </c>
      <c r="O27" s="15">
        <f>-Drivers!O17*(1+Assumptions!$H$16)</f>
        <v>-30287.150999999991</v>
      </c>
      <c r="P27" s="15">
        <f t="shared" si="0"/>
        <v>-371595.42300000001</v>
      </c>
    </row>
    <row r="28" spans="1:16" x14ac:dyDescent="0.2">
      <c r="A28" s="8" t="s">
        <v>260</v>
      </c>
      <c r="B28" t="s">
        <v>261</v>
      </c>
      <c r="D28" s="15">
        <f>-(Drivers!D18*(1+Assumptions!$H$16)+Assumptions!$H$45*D15)</f>
        <v>-53114.384837725171</v>
      </c>
      <c r="E28" s="15">
        <f>-(Drivers!E18*(1+Assumptions!$H$16)+Assumptions!$H$45*E15)</f>
        <v>-51090.601165744833</v>
      </c>
      <c r="F28" s="15">
        <f>-(Drivers!F18*(1+Assumptions!$H$16)+Assumptions!$H$45*F15)</f>
        <v>-48794.452820126753</v>
      </c>
      <c r="G28" s="15">
        <f>-(Drivers!G18*(1+Assumptions!$H$16)+Assumptions!$H$45*G15)</f>
        <v>-50157.111950619917</v>
      </c>
      <c r="H28" s="15">
        <f>-(Drivers!H18*(1+Assumptions!$H$16)+Assumptions!$H$45*H15)</f>
        <v>-47126.035250146466</v>
      </c>
      <c r="I28" s="15">
        <f>-(Drivers!I18*(1+Assumptions!$H$16)+Assumptions!$H$45*I15)</f>
        <v>-49567.947193600325</v>
      </c>
      <c r="J28" s="15">
        <f>-(Drivers!J18*(1+Assumptions!$H$16)+Assumptions!$H$45*J15)</f>
        <v>-51884.540348753355</v>
      </c>
      <c r="K28" s="15">
        <f>-(Drivers!K18*(1+Assumptions!$H$16)+Assumptions!$H$45*K15)</f>
        <v>-52234.680863987262</v>
      </c>
      <c r="L28" s="15">
        <f>-(Drivers!L18*(1+Assumptions!$H$16)+Assumptions!$H$45*L15)</f>
        <v>-49057.583910230547</v>
      </c>
      <c r="M28" s="15">
        <f>-(Drivers!M18*(1+Assumptions!$H$16)+Assumptions!$H$45*M15)</f>
        <v>-52238.802147285147</v>
      </c>
      <c r="N28" s="15">
        <f>-(Drivers!N18*(1+Assumptions!$H$16)+Assumptions!$H$45*N15)</f>
        <v>-50204.809980533857</v>
      </c>
      <c r="O28" s="15">
        <f>-(Drivers!O18*(1+Assumptions!$H$16)+Assumptions!$H$45*O15)</f>
        <v>-50411.012066474512</v>
      </c>
      <c r="P28" s="15">
        <f t="shared" si="0"/>
        <v>-605881.96253522811</v>
      </c>
    </row>
    <row r="29" spans="1:16" x14ac:dyDescent="0.2">
      <c r="A29" s="16" t="s">
        <v>262</v>
      </c>
      <c r="B29" s="16" t="s">
        <v>263</v>
      </c>
      <c r="C29" s="16"/>
      <c r="D29" s="17">
        <f t="shared" ref="D29:O29" si="5">D24+D25+D26+D27+D28</f>
        <v>-335059.62993772514</v>
      </c>
      <c r="E29" s="17">
        <f t="shared" si="5"/>
        <v>-338319.70076574478</v>
      </c>
      <c r="F29" s="17">
        <f t="shared" si="5"/>
        <v>-335246.48967012682</v>
      </c>
      <c r="G29" s="17">
        <f t="shared" si="5"/>
        <v>-348554.58320061991</v>
      </c>
      <c r="H29" s="17">
        <f t="shared" si="5"/>
        <v>-341985.03225014644</v>
      </c>
      <c r="I29" s="17">
        <f t="shared" si="5"/>
        <v>-344200.62419360038</v>
      </c>
      <c r="J29" s="17">
        <f t="shared" si="5"/>
        <v>-340731.95334875333</v>
      </c>
      <c r="K29" s="17">
        <f t="shared" si="5"/>
        <v>-341030.58761398727</v>
      </c>
      <c r="L29" s="17">
        <f t="shared" si="5"/>
        <v>-339557.82991023053</v>
      </c>
      <c r="M29" s="17">
        <f t="shared" si="5"/>
        <v>-341729.75114728516</v>
      </c>
      <c r="N29" s="17">
        <f t="shared" si="5"/>
        <v>-339234.28348053381</v>
      </c>
      <c r="O29" s="17">
        <f t="shared" si="5"/>
        <v>-338459.63231647451</v>
      </c>
      <c r="P29" s="17">
        <f t="shared" si="0"/>
        <v>-4084110.0978352278</v>
      </c>
    </row>
    <row r="30" spans="1:16" x14ac:dyDescent="0.2">
      <c r="A30" s="16" t="s">
        <v>264</v>
      </c>
      <c r="B30" s="16" t="s">
        <v>265</v>
      </c>
      <c r="C30" s="16"/>
      <c r="D30" s="17">
        <f t="shared" ref="D30:O30" si="6">D23+D29</f>
        <v>399243.67158355599</v>
      </c>
      <c r="E30" s="17">
        <f t="shared" si="6"/>
        <v>327174.0155071679</v>
      </c>
      <c r="F30" s="17">
        <f t="shared" si="6"/>
        <v>88280.875403382001</v>
      </c>
      <c r="G30" s="17">
        <f t="shared" si="6"/>
        <v>87073.067460123333</v>
      </c>
      <c r="H30" s="17">
        <f t="shared" si="6"/>
        <v>101321.04379649478</v>
      </c>
      <c r="I30" s="17">
        <f t="shared" si="6"/>
        <v>72748.629071018426</v>
      </c>
      <c r="J30" s="17">
        <f t="shared" si="6"/>
        <v>165694.7577864881</v>
      </c>
      <c r="K30" s="17">
        <f t="shared" si="6"/>
        <v>130032.50652998593</v>
      </c>
      <c r="L30" s="17">
        <f t="shared" si="6"/>
        <v>113945.77136333141</v>
      </c>
      <c r="M30" s="17">
        <f t="shared" si="6"/>
        <v>104869.20553918701</v>
      </c>
      <c r="N30" s="17">
        <f t="shared" si="6"/>
        <v>113758.88154143613</v>
      </c>
      <c r="O30" s="17">
        <f t="shared" si="6"/>
        <v>29508.466643120104</v>
      </c>
      <c r="P30" s="17">
        <f t="shared" si="0"/>
        <v>1733650.8922252911</v>
      </c>
    </row>
    <row r="31" spans="1:16" x14ac:dyDescent="0.2">
      <c r="A31" s="8" t="s">
        <v>266</v>
      </c>
      <c r="B31" t="s">
        <v>267</v>
      </c>
      <c r="D31" s="15">
        <f>-(Drivers!D23+C106/Assumptions!$H$66)</f>
        <v>-23245.84</v>
      </c>
      <c r="E31" s="15">
        <f>-(Drivers!E23+D106/Assumptions!$H$66)</f>
        <v>-23245.84</v>
      </c>
      <c r="F31" s="15">
        <f>-(Drivers!F23+E106/Assumptions!$H$66)</f>
        <v>-23245.84</v>
      </c>
      <c r="G31" s="15">
        <f>-(Drivers!G23+F106/Assumptions!$H$66)</f>
        <v>-23245.84</v>
      </c>
      <c r="H31" s="15">
        <f>-(Drivers!H23+G106/Assumptions!$H$66)</f>
        <v>-23245.84</v>
      </c>
      <c r="I31" s="15">
        <f>-(Drivers!I23+H106/Assumptions!$H$66)</f>
        <v>-23245.84</v>
      </c>
      <c r="J31" s="15">
        <f>-(Drivers!J23+I106/Assumptions!$H$66)</f>
        <v>-22162.71</v>
      </c>
      <c r="K31" s="15">
        <f>-(Drivers!K23+J106/Assumptions!$H$66)</f>
        <v>-22162.51</v>
      </c>
      <c r="L31" s="15">
        <f>-(Drivers!L23+K106/Assumptions!$H$66)</f>
        <v>-22162.51</v>
      </c>
      <c r="M31" s="15">
        <f>-(Drivers!M23+L106/Assumptions!$H$66)</f>
        <v>-22162.51</v>
      </c>
      <c r="N31" s="15">
        <f>-(Drivers!N23+M106/Assumptions!$H$66)</f>
        <v>-22162.51</v>
      </c>
      <c r="O31" s="15">
        <f>-(Drivers!O23+N106/Assumptions!$H$66)</f>
        <v>-22162.51</v>
      </c>
      <c r="P31" s="15">
        <f t="shared" si="0"/>
        <v>-272450.30000000005</v>
      </c>
    </row>
    <row r="32" spans="1:16" x14ac:dyDescent="0.2">
      <c r="A32" s="16" t="s">
        <v>268</v>
      </c>
      <c r="B32" s="16" t="s">
        <v>269</v>
      </c>
      <c r="C32" s="16"/>
      <c r="D32" s="17">
        <f t="shared" ref="D32:O32" si="7">D30+D31</f>
        <v>375997.83158355596</v>
      </c>
      <c r="E32" s="17">
        <f t="shared" si="7"/>
        <v>303928.17550716788</v>
      </c>
      <c r="F32" s="17">
        <f t="shared" si="7"/>
        <v>65035.035403382004</v>
      </c>
      <c r="G32" s="17">
        <f t="shared" si="7"/>
        <v>63827.227460123337</v>
      </c>
      <c r="H32" s="17">
        <f t="shared" si="7"/>
        <v>78075.203796494781</v>
      </c>
      <c r="I32" s="17">
        <f t="shared" si="7"/>
        <v>49502.789071018429</v>
      </c>
      <c r="J32" s="17">
        <f t="shared" si="7"/>
        <v>143532.04778648811</v>
      </c>
      <c r="K32" s="17">
        <f t="shared" si="7"/>
        <v>107869.99652998593</v>
      </c>
      <c r="L32" s="17">
        <f t="shared" si="7"/>
        <v>91783.261363331418</v>
      </c>
      <c r="M32" s="17">
        <f t="shared" si="7"/>
        <v>82706.695539187014</v>
      </c>
      <c r="N32" s="17">
        <f t="shared" si="7"/>
        <v>91596.371541436136</v>
      </c>
      <c r="O32" s="17">
        <f t="shared" si="7"/>
        <v>7345.9566431201056</v>
      </c>
      <c r="P32" s="17">
        <f t="shared" si="0"/>
        <v>1461200.5922252911</v>
      </c>
    </row>
    <row r="33" spans="1:16" x14ac:dyDescent="0.2">
      <c r="A33" s="8" t="s">
        <v>270</v>
      </c>
      <c r="B33" t="s">
        <v>271</v>
      </c>
      <c r="D33" s="15">
        <f>-(C111*(Assumptions!$H$56+Assumptions!$H$17+Assumptions!$H$57)+C56*(Assumptions!$H$56+Assumptions!$H$17+Assumptions!$H$58))/12</f>
        <v>-2464.2187499999995</v>
      </c>
      <c r="E33" s="15">
        <f>-(D111*(Assumptions!$H$56+Assumptions!$H$17+Assumptions!$H$57)+D56*(Assumptions!$H$56+Assumptions!$H$17+Assumptions!$H$58))/12</f>
        <v>-2374.4852941176468</v>
      </c>
      <c r="F33" s="15">
        <f>-(E111*(Assumptions!$H$56+Assumptions!$H$17+Assumptions!$H$57)+E56*(Assumptions!$H$56+Assumptions!$H$17+Assumptions!$H$58))/12</f>
        <v>-2284.7518382352941</v>
      </c>
      <c r="G33" s="15">
        <f>-(F111*(Assumptions!$H$56+Assumptions!$H$17+Assumptions!$H$57)+F56*(Assumptions!$H$56+Assumptions!$H$17+Assumptions!$H$58))/12</f>
        <v>-2195.018382352941</v>
      </c>
      <c r="H33" s="15">
        <f>-(G111*(Assumptions!$H$56+Assumptions!$H$17+Assumptions!$H$57)+G56*(Assumptions!$H$56+Assumptions!$H$17+Assumptions!$H$58))/12</f>
        <v>-2105.2849264705878</v>
      </c>
      <c r="I33" s="15">
        <f>-(H111*(Assumptions!$H$56+Assumptions!$H$17+Assumptions!$H$57)+H56*(Assumptions!$H$56+Assumptions!$H$17+Assumptions!$H$58))/12</f>
        <v>-2015.5514705882351</v>
      </c>
      <c r="J33" s="15">
        <f>-(I111*(Assumptions!$H$56+Assumptions!$H$17+Assumptions!$H$57)+I56*(Assumptions!$H$56+Assumptions!$H$17+Assumptions!$H$58))/12</f>
        <v>-1925.8180147058822</v>
      </c>
      <c r="K33" s="15">
        <f>-(J111*(Assumptions!$H$56+Assumptions!$H$17+Assumptions!$H$57)+J56*(Assumptions!$H$56+Assumptions!$H$17+Assumptions!$H$58))/12</f>
        <v>-1836.0845588235291</v>
      </c>
      <c r="L33" s="15">
        <f>-(K111*(Assumptions!$H$56+Assumptions!$H$17+Assumptions!$H$57)+K56*(Assumptions!$H$56+Assumptions!$H$17+Assumptions!$H$58))/12</f>
        <v>-1746.3511029411764</v>
      </c>
      <c r="M33" s="15">
        <f>-(L111*(Assumptions!$H$56+Assumptions!$H$17+Assumptions!$H$57)+L56*(Assumptions!$H$56+Assumptions!$H$17+Assumptions!$H$58))/12</f>
        <v>-1656.6176470588234</v>
      </c>
      <c r="N33" s="15">
        <f>-(M111*(Assumptions!$H$56+Assumptions!$H$17+Assumptions!$H$57)+M56*(Assumptions!$H$56+Assumptions!$H$17+Assumptions!$H$58))/12</f>
        <v>-1566.8841911764703</v>
      </c>
      <c r="O33" s="15">
        <f>-(N111*(Assumptions!$H$56+Assumptions!$H$17+Assumptions!$H$57)+N56*(Assumptions!$H$56+Assumptions!$H$17+Assumptions!$H$58))/12</f>
        <v>-1477.1507352941173</v>
      </c>
      <c r="P33" s="15">
        <f t="shared" si="0"/>
        <v>-23648.216911764699</v>
      </c>
    </row>
    <row r="34" spans="1:16" x14ac:dyDescent="0.2">
      <c r="A34" s="16" t="s">
        <v>272</v>
      </c>
      <c r="B34" s="16" t="s">
        <v>273</v>
      </c>
      <c r="C34" s="16"/>
      <c r="D34" s="17">
        <f t="shared" ref="D34:O34" si="8">D32+D33</f>
        <v>373533.61283355596</v>
      </c>
      <c r="E34" s="17">
        <f t="shared" si="8"/>
        <v>301553.69021305023</v>
      </c>
      <c r="F34" s="17">
        <f t="shared" si="8"/>
        <v>62750.28356514671</v>
      </c>
      <c r="G34" s="17">
        <f t="shared" si="8"/>
        <v>61632.209077770392</v>
      </c>
      <c r="H34" s="17">
        <f t="shared" si="8"/>
        <v>75969.918870024194</v>
      </c>
      <c r="I34" s="17">
        <f t="shared" si="8"/>
        <v>47487.237600430191</v>
      </c>
      <c r="J34" s="17">
        <f t="shared" si="8"/>
        <v>141606.22977178224</v>
      </c>
      <c r="K34" s="17">
        <f t="shared" si="8"/>
        <v>106033.91197116241</v>
      </c>
      <c r="L34" s="17">
        <f t="shared" si="8"/>
        <v>90036.910260390243</v>
      </c>
      <c r="M34" s="17">
        <f t="shared" si="8"/>
        <v>81050.077892128189</v>
      </c>
      <c r="N34" s="17">
        <f t="shared" si="8"/>
        <v>90029.48735025966</v>
      </c>
      <c r="O34" s="17">
        <f t="shared" si="8"/>
        <v>5868.8059078259885</v>
      </c>
      <c r="P34" s="17">
        <f t="shared" si="0"/>
        <v>1437552.3753135263</v>
      </c>
    </row>
    <row r="35" spans="1:16" x14ac:dyDescent="0.2">
      <c r="A35" s="8" t="s">
        <v>274</v>
      </c>
      <c r="B35" t="s">
        <v>275</v>
      </c>
      <c r="D35" s="15">
        <f>-(D116-IF(Drivers!D27,0,C116))</f>
        <v>-85912.733751717868</v>
      </c>
      <c r="E35" s="15">
        <f>-(E116-IF(Drivers!E27,0,D116))</f>
        <v>-69357.34874900151</v>
      </c>
      <c r="F35" s="15">
        <f>-(F116-IF(Drivers!F27,0,E116))</f>
        <v>-14432.56521998375</v>
      </c>
      <c r="G35" s="15">
        <f>-(G116-IF(Drivers!G27,0,F116))</f>
        <v>-6779.5429985547435</v>
      </c>
      <c r="H35" s="15">
        <f>-(H116-IF(Drivers!H27,0,G116))</f>
        <v>-8356.6910757026617</v>
      </c>
      <c r="I35" s="15">
        <f>-(I116-IF(Drivers!I27,0,H116))</f>
        <v>-5223.5961360473193</v>
      </c>
      <c r="J35" s="15">
        <f>-(J116-IF(Drivers!J27,0,I116))</f>
        <v>-15576.685274896045</v>
      </c>
      <c r="K35" s="15">
        <f>-(K116-IF(Drivers!K27,0,J116))</f>
        <v>-11663.730316827867</v>
      </c>
      <c r="L35" s="15">
        <f>-(L116-IF(Drivers!L27,0,K116))</f>
        <v>-12636.03023483009</v>
      </c>
      <c r="M35" s="15">
        <f>-(M116-IF(Drivers!M27,0,L116))</f>
        <v>-18641.517915189492</v>
      </c>
      <c r="N35" s="15">
        <f>-(N116-IF(Drivers!N27,0,M116))</f>
        <v>-20706.782090559733</v>
      </c>
      <c r="O35" s="15">
        <f>-(O116-IF(Drivers!O27,0,N116))</f>
        <v>-1349.8253587999498</v>
      </c>
      <c r="P35" s="15">
        <f t="shared" si="0"/>
        <v>-270637.049122111</v>
      </c>
    </row>
    <row r="36" spans="1:16" x14ac:dyDescent="0.2">
      <c r="A36" s="16" t="s">
        <v>276</v>
      </c>
      <c r="B36" s="16" t="s">
        <v>277</v>
      </c>
      <c r="C36" s="16"/>
      <c r="D36" s="17">
        <f t="shared" ref="D36:O36" si="9">D34+D35</f>
        <v>287620.87908183807</v>
      </c>
      <c r="E36" s="17">
        <f t="shared" si="9"/>
        <v>232196.34146404872</v>
      </c>
      <c r="F36" s="17">
        <f t="shared" si="9"/>
        <v>48317.718345162961</v>
      </c>
      <c r="G36" s="17">
        <f t="shared" si="9"/>
        <v>54852.666079215647</v>
      </c>
      <c r="H36" s="17">
        <f t="shared" si="9"/>
        <v>67613.22779432153</v>
      </c>
      <c r="I36" s="17">
        <f t="shared" si="9"/>
        <v>42263.641464382876</v>
      </c>
      <c r="J36" s="17">
        <f t="shared" si="9"/>
        <v>126029.5444968862</v>
      </c>
      <c r="K36" s="17">
        <f t="shared" si="9"/>
        <v>94370.181654334534</v>
      </c>
      <c r="L36" s="17">
        <f t="shared" si="9"/>
        <v>77400.880025560153</v>
      </c>
      <c r="M36" s="17">
        <f t="shared" si="9"/>
        <v>62408.559976938697</v>
      </c>
      <c r="N36" s="17">
        <f t="shared" si="9"/>
        <v>69322.705259699927</v>
      </c>
      <c r="O36" s="17">
        <f t="shared" si="9"/>
        <v>4518.9805490260387</v>
      </c>
      <c r="P36" s="17">
        <f t="shared" si="0"/>
        <v>1166915.3261914153</v>
      </c>
    </row>
    <row r="38" spans="1:16" x14ac:dyDescent="0.2">
      <c r="A38" s="14" t="s">
        <v>278</v>
      </c>
    </row>
    <row r="39" spans="1:16" x14ac:dyDescent="0.2">
      <c r="A39" s="8" t="s">
        <v>279</v>
      </c>
      <c r="B39" t="s">
        <v>280</v>
      </c>
      <c r="C39" s="15">
        <f>Hist_Balances!$AJ$6</f>
        <v>1390234</v>
      </c>
      <c r="D39" s="15">
        <f t="shared" ref="D39:O39" si="10">C39+D82</f>
        <v>1736043.9457315854</v>
      </c>
      <c r="E39" s="15">
        <f t="shared" si="10"/>
        <v>2045166.6918355105</v>
      </c>
      <c r="F39" s="15">
        <f t="shared" si="10"/>
        <v>1758471.1321627195</v>
      </c>
      <c r="G39" s="15">
        <f t="shared" si="10"/>
        <v>1693642.9330066643</v>
      </c>
      <c r="H39" s="15">
        <f t="shared" si="10"/>
        <v>1809259.0315971468</v>
      </c>
      <c r="I39" s="15">
        <f t="shared" si="10"/>
        <v>1536640.4722800979</v>
      </c>
      <c r="J39" s="15">
        <f t="shared" si="10"/>
        <v>1608448.0587600803</v>
      </c>
      <c r="K39" s="15">
        <f t="shared" si="10"/>
        <v>1760135.943500825</v>
      </c>
      <c r="L39" s="15">
        <f t="shared" si="10"/>
        <v>1913875.8569459259</v>
      </c>
      <c r="M39" s="15">
        <f t="shared" si="10"/>
        <v>1947498.9736761693</v>
      </c>
      <c r="N39" s="15">
        <f t="shared" si="10"/>
        <v>2083684.3350152439</v>
      </c>
      <c r="O39" s="15">
        <f t="shared" si="10"/>
        <v>2160422.3009665613</v>
      </c>
    </row>
    <row r="40" spans="1:16" x14ac:dyDescent="0.2">
      <c r="A40" s="8" t="s">
        <v>281</v>
      </c>
      <c r="B40" t="s">
        <v>282</v>
      </c>
      <c r="C40" s="15">
        <f>Hist_Balances!$AJ$8</f>
        <v>573560.54</v>
      </c>
      <c r="D40" s="15">
        <f>Assumptions!$H$47*(1+Assumptions!$H$13)/30.4*Assumptions!$H$46*D15*(1+Assumptions!$H$55)</f>
        <v>860622.84269236564</v>
      </c>
      <c r="E40" s="15">
        <f>Assumptions!$H$47*(1+Assumptions!$H$13)/30.4*Assumptions!$H$46*E15*(1+Assumptions!$H$55)</f>
        <v>779696.39315525838</v>
      </c>
      <c r="F40" s="15">
        <f>Assumptions!$H$47*(1+Assumptions!$H$13)/30.4*Assumptions!$H$46*F15*(1+Assumptions!$H$55)</f>
        <v>597574.16678116808</v>
      </c>
      <c r="G40" s="15">
        <f>Assumptions!$H$47*(1+Assumptions!$H$13)/30.4*Assumptions!$H$46*G15*(1+Assumptions!$H$55)</f>
        <v>599009.76125890308</v>
      </c>
      <c r="H40" s="15">
        <f>Assumptions!$H$47*(1+Assumptions!$H$13)/30.4*Assumptions!$H$46*H15*(1+Assumptions!$H$55)</f>
        <v>592204.37566569727</v>
      </c>
      <c r="I40" s="15">
        <f>Assumptions!$H$47*(1+Assumptions!$H$13)/30.4*Assumptions!$H$46*I15*(1+Assumptions!$H$55)</f>
        <v>590435.07658717362</v>
      </c>
      <c r="J40" s="15">
        <f>Assumptions!$H$47*(1+Assumptions!$H$13)/30.4*Assumptions!$H$46*J15*(1+Assumptions!$H$55)</f>
        <v>647848.64923437603</v>
      </c>
      <c r="K40" s="15">
        <f>Assumptions!$H$47*(1+Assumptions!$H$13)/30.4*Assumptions!$H$46*K15*(1+Assumptions!$H$55)</f>
        <v>601501.05089648545</v>
      </c>
      <c r="L40" s="15">
        <f>Assumptions!$H$47*(1+Assumptions!$H$13)/30.4*Assumptions!$H$46*L15*(1+Assumptions!$H$55)</f>
        <v>621823.63630405837</v>
      </c>
      <c r="M40" s="15">
        <f>Assumptions!$H$47*(1+Assumptions!$H$13)/30.4*Assumptions!$H$46*M15*(1+Assumptions!$H$55)</f>
        <v>611623.86178069806</v>
      </c>
      <c r="N40" s="15">
        <f>Assumptions!$H$47*(1+Assumptions!$H$13)/30.4*Assumptions!$H$46*N15*(1+Assumptions!$H$55)</f>
        <v>613908.61483479443</v>
      </c>
      <c r="O40" s="15">
        <f>Assumptions!$H$47*(1+Assumptions!$H$13)/30.4*Assumptions!$H$46*O15*(1+Assumptions!$H$55)</f>
        <v>537917.10728669527</v>
      </c>
    </row>
    <row r="41" spans="1:16" x14ac:dyDescent="0.2">
      <c r="A41" s="8" t="s">
        <v>283</v>
      </c>
      <c r="B41" t="s">
        <v>284</v>
      </c>
      <c r="C41" s="15">
        <f>Hist_Balances!$AJ$7+Hist_Balances!$AJ$9</f>
        <v>110132.82</v>
      </c>
      <c r="D41" s="15">
        <f>Assumptions!$H$48*(1+Assumptions!$H$13)*D15*(1+Assumptions!$H$55)</f>
        <v>120331.43500323969</v>
      </c>
      <c r="E41" s="15">
        <f>Assumptions!$H$48*(1+Assumptions!$H$13)*E15*(1+Assumptions!$H$55)</f>
        <v>109016.37883757586</v>
      </c>
      <c r="F41" s="15">
        <f>Assumptions!$H$48*(1+Assumptions!$H$13)*F15*(1+Assumptions!$H$55)</f>
        <v>83552.22920262038</v>
      </c>
      <c r="G41" s="15">
        <f>Assumptions!$H$48*(1+Assumptions!$H$13)*G15*(1+Assumptions!$H$55)</f>
        <v>83752.952603184734</v>
      </c>
      <c r="H41" s="15">
        <f>Assumptions!$H$48*(1+Assumptions!$H$13)*H15*(1+Assumptions!$H$55)</f>
        <v>82801.43031774438</v>
      </c>
      <c r="I41" s="15">
        <f>Assumptions!$H$48*(1+Assumptions!$H$13)*I15*(1+Assumptions!$H$55)</f>
        <v>82554.048669817625</v>
      </c>
      <c r="J41" s="15">
        <f>Assumptions!$H$48*(1+Assumptions!$H$13)*J15*(1+Assumptions!$H$55)</f>
        <v>90581.55763493829</v>
      </c>
      <c r="K41" s="15">
        <f>Assumptions!$H$48*(1+Assumptions!$H$13)*K15*(1+Assumptions!$H$55)</f>
        <v>84101.282257277082</v>
      </c>
      <c r="L41" s="15">
        <f>Assumptions!$H$48*(1+Assumptions!$H$13)*L15*(1+Assumptions!$H$55)</f>
        <v>86942.766056869048</v>
      </c>
      <c r="M41" s="15">
        <f>Assumptions!$H$48*(1+Assumptions!$H$13)*M15*(1+Assumptions!$H$55)</f>
        <v>85516.643667105614</v>
      </c>
      <c r="N41" s="15">
        <f>Assumptions!$H$48*(1+Assumptions!$H$13)*N15*(1+Assumptions!$H$55)</f>
        <v>85836.095580289053</v>
      </c>
      <c r="O41" s="15">
        <f>Assumptions!$H$48*(1+Assumptions!$H$13)*O15*(1+Assumptions!$H$55)</f>
        <v>75211.038124556464</v>
      </c>
    </row>
    <row r="42" spans="1:16" x14ac:dyDescent="0.2">
      <c r="A42" s="8" t="s">
        <v>285</v>
      </c>
      <c r="B42" t="s">
        <v>286</v>
      </c>
      <c r="C42" s="15">
        <f>Hist_Balances!$AJ$10+Hist_Balances!$AJ$11</f>
        <v>126398.76999999999</v>
      </c>
      <c r="D42" s="15">
        <f>-Assumptions!$H$49*D17</f>
        <v>206785.21210543931</v>
      </c>
      <c r="E42" s="15">
        <f>-Assumptions!$H$49*E17</f>
        <v>189394.12941633307</v>
      </c>
      <c r="F42" s="15">
        <f>-Assumptions!$H$49*F17</f>
        <v>146711.8880985025</v>
      </c>
      <c r="G42" s="15">
        <f>-Assumptions!$H$49*G17</f>
        <v>143489.57131935129</v>
      </c>
      <c r="H42" s="15">
        <f>-Assumptions!$H$49*H17</f>
        <v>143571.80909395075</v>
      </c>
      <c r="I42" s="15">
        <f>-Assumptions!$H$49*I17</f>
        <v>138899.99757692733</v>
      </c>
      <c r="J42" s="15">
        <f>-Assumptions!$H$49*J17</f>
        <v>150233.10339279234</v>
      </c>
      <c r="K42" s="15">
        <f>-Assumptions!$H$49*K17</f>
        <v>137836.57212739997</v>
      </c>
      <c r="L42" s="15">
        <f>-Assumptions!$H$49*L17</f>
        <v>143761.34493421944</v>
      </c>
      <c r="M42" s="15">
        <f>-Assumptions!$H$49*M17</f>
        <v>139368.92822115542</v>
      </c>
      <c r="N42" s="15">
        <f>-Assumptions!$H$49*N17</f>
        <v>142876.44630343001</v>
      </c>
      <c r="O42" s="15">
        <f>-Assumptions!$H$49*O17</f>
        <v>123944.52461308608</v>
      </c>
    </row>
    <row r="43" spans="1:16" x14ac:dyDescent="0.2">
      <c r="A43" s="8" t="s">
        <v>287</v>
      </c>
      <c r="B43" t="s">
        <v>288</v>
      </c>
      <c r="C43" s="15">
        <f>Hist_Balances!$AJ$12</f>
        <v>11736.47</v>
      </c>
      <c r="D43" s="15">
        <f>-Assumptions!$H$50*D18</f>
        <v>17319.317483478037</v>
      </c>
      <c r="E43" s="15">
        <f>-Assumptions!$H$50*E18</f>
        <v>16450.779980591371</v>
      </c>
      <c r="F43" s="15">
        <f>-Assumptions!$H$50*F18</f>
        <v>13769.554757959324</v>
      </c>
      <c r="G43" s="15">
        <f>-Assumptions!$H$50*G18</f>
        <v>12911.787199818738</v>
      </c>
      <c r="H43" s="15">
        <f>-Assumptions!$H$50*H18</f>
        <v>12791.795500125489</v>
      </c>
      <c r="I43" s="15">
        <f>-Assumptions!$H$50*I18</f>
        <v>12779.090821648797</v>
      </c>
      <c r="J43" s="15">
        <f>-Assumptions!$H$50*J18</f>
        <v>13229.810241011719</v>
      </c>
      <c r="K43" s="15">
        <f>-Assumptions!$H$50*K18</f>
        <v>10919.654343976383</v>
      </c>
      <c r="L43" s="15">
        <f>-Assumptions!$H$50*L18</f>
        <v>13617.354507446422</v>
      </c>
      <c r="M43" s="15">
        <f>-Assumptions!$H$50*M18</f>
        <v>13967.178389632973</v>
      </c>
      <c r="N43" s="15">
        <f>-Assumptions!$H$50*N18</f>
        <v>13601.889048067082</v>
      </c>
      <c r="O43" s="15">
        <f>-Assumptions!$H$50*O18</f>
        <v>11563.636207862872</v>
      </c>
    </row>
    <row r="44" spans="1:16" x14ac:dyDescent="0.2">
      <c r="A44" s="8" t="s">
        <v>289</v>
      </c>
      <c r="B44" t="s">
        <v>290</v>
      </c>
      <c r="C44" s="15">
        <f>Hist_Balances!$AJ$13</f>
        <v>115918.75</v>
      </c>
      <c r="D44" s="15">
        <f>-Assumptions!$H$51*(1+Assumptions!$H$10)/30.4*D22</f>
        <v>169768.88221162386</v>
      </c>
      <c r="E44" s="15">
        <f>-Assumptions!$H$51*(1+Assumptions!$H$10)/30.4*E22</f>
        <v>153762.90313425424</v>
      </c>
      <c r="F44" s="15">
        <f>-Assumptions!$H$51*(1+Assumptions!$H$10)/30.4*F22</f>
        <v>133140.68764873166</v>
      </c>
      <c r="G44" s="15">
        <f>-Assumptions!$H$51*(1+Assumptions!$H$10)/30.4*G22</f>
        <v>131501.45924826607</v>
      </c>
      <c r="H44" s="15">
        <f>-Assumptions!$H$51*(1+Assumptions!$H$10)/30.4*H22</f>
        <v>127775.31106561773</v>
      </c>
      <c r="I44" s="15">
        <f>-Assumptions!$H$51*(1+Assumptions!$H$10)/30.4*I22</f>
        <v>131818.47432351092</v>
      </c>
      <c r="J44" s="15">
        <f>-Assumptions!$H$51*(1+Assumptions!$H$10)/30.4*J22</f>
        <v>135986.56725854066</v>
      </c>
      <c r="K44" s="15">
        <f>-Assumptions!$H$51*(1+Assumptions!$H$10)/30.4*K22</f>
        <v>126104.80496159111</v>
      </c>
      <c r="L44" s="15">
        <f>-Assumptions!$H$51*(1+Assumptions!$H$10)/30.4*L22</f>
        <v>136282.73821837484</v>
      </c>
      <c r="M44" s="15">
        <f>-Assumptions!$H$51*(1+Assumptions!$H$10)/30.4*M22</f>
        <v>133952.86719501647</v>
      </c>
      <c r="N44" s="15">
        <f>-Assumptions!$H$51*(1+Assumptions!$H$10)/30.4*N22</f>
        <v>133617.867089979</v>
      </c>
      <c r="O44" s="15">
        <f>-Assumptions!$H$51*(1+Assumptions!$H$10)/30.4*O22</f>
        <v>122196.03689222664</v>
      </c>
    </row>
    <row r="45" spans="1:16" x14ac:dyDescent="0.2">
      <c r="A45" s="8" t="s">
        <v>291</v>
      </c>
      <c r="B45" t="s">
        <v>292</v>
      </c>
      <c r="C45" s="15">
        <f>Hist_Balances!$AJ$14</f>
        <v>27084.78</v>
      </c>
      <c r="D45" s="15">
        <f>C45+Drivers!D21-Drivers!D20</f>
        <v>18056.519999999997</v>
      </c>
      <c r="E45" s="15">
        <f>D45+Drivers!E21-Drivers!E20</f>
        <v>9028.2599999999966</v>
      </c>
      <c r="F45" s="15">
        <f>E45+Drivers!F21-Drivers!F20</f>
        <v>0</v>
      </c>
      <c r="G45" s="15">
        <f>F45+Drivers!G21-Drivers!G20</f>
        <v>103283.2944</v>
      </c>
      <c r="H45" s="15">
        <f>G45+Drivers!H21-Drivers!H20</f>
        <v>93893.903999999995</v>
      </c>
      <c r="I45" s="15">
        <f>H45+Drivers!I21-Drivers!I20</f>
        <v>84504.513599999991</v>
      </c>
      <c r="J45" s="15">
        <f>I45+Drivers!J21-Drivers!J20</f>
        <v>75115.123199999987</v>
      </c>
      <c r="K45" s="15">
        <f>J45+Drivers!K21-Drivers!K20</f>
        <v>65725.732799999983</v>
      </c>
      <c r="L45" s="15">
        <f>K45+Drivers!L21-Drivers!L20</f>
        <v>56336.34239999998</v>
      </c>
      <c r="M45" s="15">
        <f>L45+Drivers!M21-Drivers!M20</f>
        <v>46946.951999999976</v>
      </c>
      <c r="N45" s="15">
        <f>M45+Drivers!N21-Drivers!N20</f>
        <v>37557.561599999972</v>
      </c>
      <c r="O45" s="15">
        <f>N45+Drivers!O21-Drivers!O20</f>
        <v>28168.171199999972</v>
      </c>
    </row>
    <row r="46" spans="1:16" x14ac:dyDescent="0.2">
      <c r="A46" s="8" t="s">
        <v>293</v>
      </c>
      <c r="B46" t="s">
        <v>294</v>
      </c>
      <c r="C46" s="15">
        <f>Hist_BS!$AI$13</f>
        <v>0</v>
      </c>
      <c r="D46" s="15">
        <f t="shared" ref="D46:O46" si="11">MAX(0,-D107)</f>
        <v>0</v>
      </c>
      <c r="E46" s="15">
        <f t="shared" si="11"/>
        <v>0</v>
      </c>
      <c r="F46" s="15">
        <f t="shared" si="11"/>
        <v>0</v>
      </c>
      <c r="G46" s="15">
        <f t="shared" si="11"/>
        <v>0</v>
      </c>
      <c r="H46" s="15">
        <f t="shared" si="11"/>
        <v>0</v>
      </c>
      <c r="I46" s="15">
        <f t="shared" si="11"/>
        <v>0</v>
      </c>
      <c r="J46" s="15">
        <f t="shared" si="11"/>
        <v>0</v>
      </c>
      <c r="K46" s="15">
        <f t="shared" si="11"/>
        <v>0</v>
      </c>
      <c r="L46" s="15">
        <f t="shared" si="11"/>
        <v>0</v>
      </c>
      <c r="M46" s="15">
        <f t="shared" si="11"/>
        <v>0</v>
      </c>
      <c r="N46" s="15">
        <f t="shared" si="11"/>
        <v>0</v>
      </c>
      <c r="O46" s="15">
        <f t="shared" si="11"/>
        <v>0</v>
      </c>
    </row>
    <row r="47" spans="1:16" x14ac:dyDescent="0.2">
      <c r="A47" s="16" t="s">
        <v>295</v>
      </c>
      <c r="B47" s="16" t="s">
        <v>296</v>
      </c>
      <c r="C47" s="17">
        <f>Hist_BS!$AI$14</f>
        <v>2355066.13</v>
      </c>
      <c r="D47" s="17">
        <f t="shared" ref="D47:O47" si="12">D39+D40+D41+D42+D43+D44+D45+D46</f>
        <v>3128928.1552277319</v>
      </c>
      <c r="E47" s="17">
        <f t="shared" si="12"/>
        <v>3302515.536359523</v>
      </c>
      <c r="F47" s="17">
        <f t="shared" si="12"/>
        <v>2733219.6586517012</v>
      </c>
      <c r="G47" s="17">
        <f t="shared" si="12"/>
        <v>2767591.759036188</v>
      </c>
      <c r="H47" s="17">
        <f t="shared" si="12"/>
        <v>2862297.6572402827</v>
      </c>
      <c r="I47" s="17">
        <f t="shared" si="12"/>
        <v>2577631.6738591767</v>
      </c>
      <c r="J47" s="17">
        <f t="shared" si="12"/>
        <v>2721442.8697217396</v>
      </c>
      <c r="K47" s="17">
        <f t="shared" si="12"/>
        <v>2786325.0408875546</v>
      </c>
      <c r="L47" s="17">
        <f t="shared" si="12"/>
        <v>2972640.0393668944</v>
      </c>
      <c r="M47" s="17">
        <f t="shared" si="12"/>
        <v>2978875.4049297781</v>
      </c>
      <c r="N47" s="17">
        <f t="shared" si="12"/>
        <v>3111082.8094718033</v>
      </c>
      <c r="O47" s="17">
        <f t="shared" si="12"/>
        <v>3059422.8152909884</v>
      </c>
      <c r="P47" s="16"/>
    </row>
    <row r="48" spans="1:16" x14ac:dyDescent="0.2">
      <c r="A48" s="8" t="s">
        <v>297</v>
      </c>
      <c r="B48" t="s">
        <v>298</v>
      </c>
      <c r="C48" s="15">
        <f>Hist_Balances!$AJ$16+Hist_Balances!$AJ$17+Hist_Balances!$AJ$18+Hist_Balances!$AJ$19</f>
        <v>2948000</v>
      </c>
      <c r="D48" s="15">
        <f>C48+Drivers!D22</f>
        <v>2948000</v>
      </c>
      <c r="E48" s="15">
        <f>D48+Drivers!E22</f>
        <v>2948000</v>
      </c>
      <c r="F48" s="15">
        <f>E48+Drivers!F22</f>
        <v>2948000</v>
      </c>
      <c r="G48" s="15">
        <f>F48+Drivers!G22</f>
        <v>2948000</v>
      </c>
      <c r="H48" s="15">
        <f>G48+Drivers!H22</f>
        <v>2948000</v>
      </c>
      <c r="I48" s="15">
        <f>H48+Drivers!I22</f>
        <v>3008000</v>
      </c>
      <c r="J48" s="15">
        <f>I48+Drivers!J22</f>
        <v>3008000</v>
      </c>
      <c r="K48" s="15">
        <f>J48+Drivers!K22</f>
        <v>3008000</v>
      </c>
      <c r="L48" s="15">
        <f>K48+Drivers!L22</f>
        <v>3008000</v>
      </c>
      <c r="M48" s="15">
        <f>L48+Drivers!M22</f>
        <v>3008000</v>
      </c>
      <c r="N48" s="15">
        <f>M48+Drivers!N22</f>
        <v>3008000</v>
      </c>
      <c r="O48" s="15">
        <f>N48+Drivers!O22</f>
        <v>3008000</v>
      </c>
    </row>
    <row r="49" spans="1:16" x14ac:dyDescent="0.2">
      <c r="A49" s="8" t="s">
        <v>299</v>
      </c>
      <c r="B49" t="s">
        <v>300</v>
      </c>
      <c r="C49" s="15">
        <f>Hist_Balances!$AJ$20</f>
        <v>-1605710.04</v>
      </c>
      <c r="D49" s="15">
        <f t="shared" ref="D49:O49" si="13">C49+D31</f>
        <v>-1628955.8800000001</v>
      </c>
      <c r="E49" s="15">
        <f t="shared" si="13"/>
        <v>-1652201.7200000002</v>
      </c>
      <c r="F49" s="15">
        <f t="shared" si="13"/>
        <v>-1675447.5600000003</v>
      </c>
      <c r="G49" s="15">
        <f t="shared" si="13"/>
        <v>-1698693.4000000004</v>
      </c>
      <c r="H49" s="15">
        <f t="shared" si="13"/>
        <v>-1721939.2400000005</v>
      </c>
      <c r="I49" s="15">
        <f t="shared" si="13"/>
        <v>-1745185.0800000005</v>
      </c>
      <c r="J49" s="15">
        <f t="shared" si="13"/>
        <v>-1767347.7900000005</v>
      </c>
      <c r="K49" s="15">
        <f t="shared" si="13"/>
        <v>-1789510.3000000005</v>
      </c>
      <c r="L49" s="15">
        <f t="shared" si="13"/>
        <v>-1811672.8100000005</v>
      </c>
      <c r="M49" s="15">
        <f t="shared" si="13"/>
        <v>-1833835.3200000005</v>
      </c>
      <c r="N49" s="15">
        <f t="shared" si="13"/>
        <v>-1855997.8300000005</v>
      </c>
      <c r="O49" s="15">
        <f t="shared" si="13"/>
        <v>-1878160.3400000005</v>
      </c>
    </row>
    <row r="50" spans="1:16" x14ac:dyDescent="0.2">
      <c r="A50" s="16" t="s">
        <v>301</v>
      </c>
      <c r="B50" s="16" t="s">
        <v>302</v>
      </c>
      <c r="C50" s="17">
        <f>Hist_BS!$AI$17</f>
        <v>1342289.96</v>
      </c>
      <c r="D50" s="17">
        <f t="shared" ref="D50:O50" si="14">D48+D49</f>
        <v>1319044.1199999999</v>
      </c>
      <c r="E50" s="17">
        <f t="shared" si="14"/>
        <v>1295798.2799999998</v>
      </c>
      <c r="F50" s="17">
        <f t="shared" si="14"/>
        <v>1272552.4399999997</v>
      </c>
      <c r="G50" s="17">
        <f t="shared" si="14"/>
        <v>1249306.5999999996</v>
      </c>
      <c r="H50" s="17">
        <f t="shared" si="14"/>
        <v>1226060.7599999995</v>
      </c>
      <c r="I50" s="17">
        <f t="shared" si="14"/>
        <v>1262814.9199999995</v>
      </c>
      <c r="J50" s="17">
        <f t="shared" si="14"/>
        <v>1240652.2099999995</v>
      </c>
      <c r="K50" s="17">
        <f t="shared" si="14"/>
        <v>1218489.6999999995</v>
      </c>
      <c r="L50" s="17">
        <f t="shared" si="14"/>
        <v>1196327.1899999995</v>
      </c>
      <c r="M50" s="17">
        <f t="shared" si="14"/>
        <v>1174164.6799999995</v>
      </c>
      <c r="N50" s="17">
        <f t="shared" si="14"/>
        <v>1152002.1699999995</v>
      </c>
      <c r="O50" s="17">
        <f t="shared" si="14"/>
        <v>1129839.6599999995</v>
      </c>
      <c r="P50" s="16"/>
    </row>
    <row r="51" spans="1:16" x14ac:dyDescent="0.2">
      <c r="A51" s="16" t="s">
        <v>303</v>
      </c>
      <c r="B51" s="16" t="s">
        <v>304</v>
      </c>
      <c r="C51" s="17">
        <f>Hist_BS!$AI$18</f>
        <v>3697356.09</v>
      </c>
      <c r="D51" s="17">
        <f t="shared" ref="D51:O51" si="15">D47+D50</f>
        <v>4447972.275227732</v>
      </c>
      <c r="E51" s="17">
        <f t="shared" si="15"/>
        <v>4598313.8163595228</v>
      </c>
      <c r="F51" s="17">
        <f t="shared" si="15"/>
        <v>4005772.0986517007</v>
      </c>
      <c r="G51" s="17">
        <f t="shared" si="15"/>
        <v>4016898.3590361876</v>
      </c>
      <c r="H51" s="17">
        <f t="shared" si="15"/>
        <v>4088358.4172402825</v>
      </c>
      <c r="I51" s="17">
        <f t="shared" si="15"/>
        <v>3840446.5938591762</v>
      </c>
      <c r="J51" s="17">
        <f t="shared" si="15"/>
        <v>3962095.0797217391</v>
      </c>
      <c r="K51" s="17">
        <f t="shared" si="15"/>
        <v>4004814.7408875544</v>
      </c>
      <c r="L51" s="17">
        <f t="shared" si="15"/>
        <v>4168967.2293668939</v>
      </c>
      <c r="M51" s="17">
        <f t="shared" si="15"/>
        <v>4153040.0849297773</v>
      </c>
      <c r="N51" s="17">
        <f t="shared" si="15"/>
        <v>4263084.9794718027</v>
      </c>
      <c r="O51" s="17">
        <f t="shared" si="15"/>
        <v>4189262.4752909876</v>
      </c>
      <c r="P51" s="16"/>
    </row>
    <row r="52" spans="1:16" x14ac:dyDescent="0.2">
      <c r="A52" s="8" t="s">
        <v>305</v>
      </c>
      <c r="B52" t="s">
        <v>306</v>
      </c>
      <c r="C52" s="15">
        <f>-(Hist_Balances!$AJ$21+Hist_Balances!$AJ$22)</f>
        <v>526655.94000000006</v>
      </c>
      <c r="D52" s="15">
        <f>Assumptions!$H$52/30.4*D105*(1+Assumptions!$H$55)+Assumptions!$H$53*(Drivers!D19-D19)*(1+Assumptions!$H$55)</f>
        <v>967542.55258482764</v>
      </c>
      <c r="E52" s="15">
        <f>Assumptions!$H$52/30.4*E105*(1+Assumptions!$H$55)+Assumptions!$H$53*(Drivers!E19-E19)*(1+Assumptions!$H$55)</f>
        <v>812439.26763972803</v>
      </c>
      <c r="F52" s="15">
        <f>Assumptions!$H$52/30.4*F105*(1+Assumptions!$H$55)+Assumptions!$H$53*(Drivers!F19-F19)*(1+Assumptions!$H$55)</f>
        <v>645189.02003433113</v>
      </c>
      <c r="G52" s="15">
        <f>Assumptions!$H$52/30.4*G105*(1+Assumptions!$H$55)+Assumptions!$H$53*(Drivers!G19-G19)*(1+Assumptions!$H$55)</f>
        <v>683750.36501201289</v>
      </c>
      <c r="H52" s="15">
        <f>Assumptions!$H$52/30.4*H105*(1+Assumptions!$H$55)+Assumptions!$H$53*(Drivers!H19-H19)*(1+Assumptions!$H$55)</f>
        <v>680687.66784949624</v>
      </c>
      <c r="I52" s="15">
        <f>Assumptions!$H$52/30.4*I105*(1+Assumptions!$H$55)+Assumptions!$H$53*(Drivers!I19-I19)*(1+Assumptions!$H$55)</f>
        <v>663327.8562181571</v>
      </c>
      <c r="J52" s="15">
        <f>Assumptions!$H$52/30.4*J105*(1+Assumptions!$H$55)+Assumptions!$H$53*(Drivers!J19-J19)*(1+Assumptions!$H$55)</f>
        <v>711159.82411968184</v>
      </c>
      <c r="K52" s="15">
        <f>Assumptions!$H$52/30.4*K105*(1+Assumptions!$H$55)+Assumptions!$H$53*(Drivers!K19-K19)*(1+Assumptions!$H$55)</f>
        <v>641673.66043426516</v>
      </c>
      <c r="L52" s="15">
        <f>Assumptions!$H$52/30.4*L105*(1+Assumptions!$H$55)+Assumptions!$H$53*(Drivers!L19-L19)*(1+Assumptions!$H$55)</f>
        <v>687640.7012475502</v>
      </c>
      <c r="M52" s="15">
        <f>Assumptions!$H$52/30.4*M105*(1+Assumptions!$H$55)+Assumptions!$H$53*(Drivers!M19-M19)*(1+Assumptions!$H$55)</f>
        <v>664404.4330436727</v>
      </c>
      <c r="N52" s="15">
        <f>Assumptions!$H$52/30.4*N105*(1+Assumptions!$H$55)+Assumptions!$H$53*(Drivers!N19-N19)*(1+Assumptions!$H$55)</f>
        <v>679225.40207687567</v>
      </c>
      <c r="O52" s="15">
        <f>Assumptions!$H$52/30.4*O105*(1+Assumptions!$H$55)+Assumptions!$H$53*(Drivers!O19-O19)*(1+Assumptions!$H$55)</f>
        <v>591618.06606122793</v>
      </c>
    </row>
    <row r="53" spans="1:16" x14ac:dyDescent="0.2">
      <c r="A53" s="8" t="s">
        <v>307</v>
      </c>
      <c r="B53" t="s">
        <v>308</v>
      </c>
      <c r="C53" s="15">
        <f>-Hist_Balances!$AJ$23</f>
        <v>211225.52</v>
      </c>
      <c r="D53" s="15">
        <f>Assumptions!$H$54*(-D16-D24)</f>
        <v>207487.2899820272</v>
      </c>
      <c r="E53" s="15">
        <f>Assumptions!$H$54*(-E16-E24)</f>
        <v>190323.90493420255</v>
      </c>
      <c r="F53" s="15">
        <f>Assumptions!$H$54*(-F16-F24)</f>
        <v>201798.40151448367</v>
      </c>
      <c r="G53" s="15">
        <f>Assumptions!$H$54*(-G16-G24)</f>
        <v>205496.0423725</v>
      </c>
      <c r="H53" s="15">
        <f>Assumptions!$H$54*(-H16-H24)</f>
        <v>194863.241905</v>
      </c>
      <c r="I53" s="15">
        <f>Assumptions!$H$54*(-I16-I24)</f>
        <v>213886.26452500001</v>
      </c>
      <c r="J53" s="15">
        <f>Assumptions!$H$54*(-J16-J24)</f>
        <v>207545.25698499999</v>
      </c>
      <c r="K53" s="15">
        <f>Assumptions!$H$54*(-K16-K24)</f>
        <v>201674.78614749998</v>
      </c>
      <c r="L53" s="15">
        <f>Assumptions!$H$54*(-L16-L24)</f>
        <v>218095.314205</v>
      </c>
      <c r="M53" s="15">
        <f>Assumptions!$H$54*(-M16-M24)</f>
        <v>218095.314205</v>
      </c>
      <c r="N53" s="15">
        <f>Assumptions!$H$54*(-N16-N24)</f>
        <v>211920.184045</v>
      </c>
      <c r="O53" s="15">
        <f>Assumptions!$H$54*(-O16-O24)</f>
        <v>211562.986225</v>
      </c>
    </row>
    <row r="54" spans="1:16" x14ac:dyDescent="0.2">
      <c r="A54" s="8" t="s">
        <v>309</v>
      </c>
      <c r="B54" t="s">
        <v>310</v>
      </c>
      <c r="C54" s="15">
        <f>Hist_BS!$AI$21</f>
        <v>81285.919999999998</v>
      </c>
      <c r="D54" s="15">
        <f t="shared" ref="D54:O54" si="16">MAX(0,D107)</f>
        <v>37470.109827320921</v>
      </c>
      <c r="E54" s="15">
        <f t="shared" si="16"/>
        <v>74774.630738986452</v>
      </c>
      <c r="F54" s="15">
        <f t="shared" si="16"/>
        <v>102508.3804911334</v>
      </c>
      <c r="G54" s="15">
        <f t="shared" si="16"/>
        <v>25993.44596215176</v>
      </c>
      <c r="H54" s="15">
        <f t="shared" si="16"/>
        <v>51429.082926238523</v>
      </c>
      <c r="I54" s="15">
        <f t="shared" si="16"/>
        <v>74569.48867674447</v>
      </c>
      <c r="J54" s="15">
        <f t="shared" si="16"/>
        <v>29370.784406000676</v>
      </c>
      <c r="K54" s="15">
        <f t="shared" si="16"/>
        <v>57663.168123570722</v>
      </c>
      <c r="L54" s="15">
        <f t="shared" si="16"/>
        <v>85641.177471734351</v>
      </c>
      <c r="M54" s="15">
        <f t="shared" si="16"/>
        <v>28150.223346367478</v>
      </c>
      <c r="N54" s="15">
        <f t="shared" si="16"/>
        <v>55769.791664930541</v>
      </c>
      <c r="O54" s="15">
        <f t="shared" si="16"/>
        <v>80293.015411937682</v>
      </c>
    </row>
    <row r="55" spans="1:16" x14ac:dyDescent="0.2">
      <c r="A55" s="8" t="s">
        <v>311</v>
      </c>
      <c r="B55" t="s">
        <v>312</v>
      </c>
      <c r="C55" s="15">
        <f>-Hist_Balances!$AJ$25</f>
        <v>134250.03</v>
      </c>
      <c r="D55" s="15">
        <f t="shared" ref="D55:O55" si="17">C55-D35-D118</f>
        <v>220162.76375171787</v>
      </c>
      <c r="E55" s="15">
        <f t="shared" si="17"/>
        <v>289520.11250071938</v>
      </c>
      <c r="F55" s="15">
        <f t="shared" si="17"/>
        <v>303952.67772070313</v>
      </c>
      <c r="G55" s="15">
        <f t="shared" si="17"/>
        <v>310732.22071925789</v>
      </c>
      <c r="H55" s="15">
        <f t="shared" si="17"/>
        <v>319088.91179496056</v>
      </c>
      <c r="I55" s="15">
        <f t="shared" si="17"/>
        <v>20359.830210304761</v>
      </c>
      <c r="J55" s="15">
        <f t="shared" si="17"/>
        <v>35936.515485200805</v>
      </c>
      <c r="K55" s="15">
        <f t="shared" si="17"/>
        <v>47600.245802028672</v>
      </c>
      <c r="L55" s="15">
        <f t="shared" si="17"/>
        <v>60236.276036858762</v>
      </c>
      <c r="M55" s="15">
        <f t="shared" si="17"/>
        <v>78877.793952048261</v>
      </c>
      <c r="N55" s="15">
        <f t="shared" si="17"/>
        <v>99584.576042607994</v>
      </c>
      <c r="O55" s="15">
        <f t="shared" si="17"/>
        <v>100934.40140140794</v>
      </c>
    </row>
    <row r="56" spans="1:16" x14ac:dyDescent="0.2">
      <c r="A56" s="8" t="s">
        <v>313</v>
      </c>
      <c r="B56" t="s">
        <v>314</v>
      </c>
      <c r="C56" s="15">
        <f>-Hist_Balances!$AJ$26</f>
        <v>0</v>
      </c>
      <c r="D56" s="15">
        <f t="shared" ref="D56:O56" si="18">C56+D78+D79</f>
        <v>0</v>
      </c>
      <c r="E56" s="15">
        <f t="shared" si="18"/>
        <v>0</v>
      </c>
      <c r="F56" s="15">
        <f t="shared" si="18"/>
        <v>0</v>
      </c>
      <c r="G56" s="15">
        <f t="shared" si="18"/>
        <v>0</v>
      </c>
      <c r="H56" s="15">
        <f t="shared" si="18"/>
        <v>0</v>
      </c>
      <c r="I56" s="15">
        <f t="shared" si="18"/>
        <v>0</v>
      </c>
      <c r="J56" s="15">
        <f t="shared" si="18"/>
        <v>0</v>
      </c>
      <c r="K56" s="15">
        <f t="shared" si="18"/>
        <v>0</v>
      </c>
      <c r="L56" s="15">
        <f t="shared" si="18"/>
        <v>0</v>
      </c>
      <c r="M56" s="15">
        <f t="shared" si="18"/>
        <v>0</v>
      </c>
      <c r="N56" s="15">
        <f t="shared" si="18"/>
        <v>0</v>
      </c>
      <c r="O56" s="15">
        <f t="shared" si="18"/>
        <v>0</v>
      </c>
    </row>
    <row r="57" spans="1:16" x14ac:dyDescent="0.2">
      <c r="A57" s="8" t="s">
        <v>315</v>
      </c>
      <c r="B57" t="s">
        <v>316</v>
      </c>
      <c r="C57" s="15">
        <f>Hist_BS!$AI$24</f>
        <v>195000</v>
      </c>
      <c r="D57" s="15">
        <f>MIN(D111,Drivers!D25)</f>
        <v>195000</v>
      </c>
      <c r="E57" s="15">
        <f>MIN(E111,Drivers!E25)</f>
        <v>195000</v>
      </c>
      <c r="F57" s="15">
        <f>MIN(F111,Drivers!F25)</f>
        <v>195000</v>
      </c>
      <c r="G57" s="15">
        <f>MIN(G111,Drivers!G25)</f>
        <v>186250</v>
      </c>
      <c r="H57" s="15">
        <f>MIN(H111,Drivers!H25)</f>
        <v>177500</v>
      </c>
      <c r="I57" s="15">
        <f>MIN(I111,Drivers!I25)</f>
        <v>168750</v>
      </c>
      <c r="J57" s="15">
        <f>MIN(J111,Drivers!J25)</f>
        <v>160000</v>
      </c>
      <c r="K57" s="15">
        <f>MIN(K111,Drivers!K25)</f>
        <v>151250</v>
      </c>
      <c r="L57" s="15">
        <f>MIN(L111,Drivers!L25)</f>
        <v>142500</v>
      </c>
      <c r="M57" s="15">
        <f>MIN(M111,Drivers!M25)</f>
        <v>133750</v>
      </c>
      <c r="N57" s="15">
        <f>MIN(N111,Drivers!N25)</f>
        <v>125000</v>
      </c>
      <c r="O57" s="15">
        <f>MIN(O111,Drivers!O25)</f>
        <v>116250</v>
      </c>
    </row>
    <row r="58" spans="1:16" x14ac:dyDescent="0.2">
      <c r="A58" s="16" t="s">
        <v>317</v>
      </c>
      <c r="B58" s="16" t="s">
        <v>318</v>
      </c>
      <c r="C58" s="17">
        <f>Hist_BS!$AI$25</f>
        <v>1148417.4100000001</v>
      </c>
      <c r="D58" s="17">
        <f t="shared" ref="D58:O58" si="19">D52+D53+D54+D55+D56+D57</f>
        <v>1627662.7161458936</v>
      </c>
      <c r="E58" s="17">
        <f t="shared" si="19"/>
        <v>1562057.9158136365</v>
      </c>
      <c r="F58" s="17">
        <f t="shared" si="19"/>
        <v>1448448.4797606512</v>
      </c>
      <c r="G58" s="17">
        <f t="shared" si="19"/>
        <v>1412222.0740659225</v>
      </c>
      <c r="H58" s="17">
        <f t="shared" si="19"/>
        <v>1423568.9044756955</v>
      </c>
      <c r="I58" s="17">
        <f t="shared" si="19"/>
        <v>1140893.4396302064</v>
      </c>
      <c r="J58" s="17">
        <f t="shared" si="19"/>
        <v>1144012.3809958831</v>
      </c>
      <c r="K58" s="17">
        <f t="shared" si="19"/>
        <v>1099861.8605073644</v>
      </c>
      <c r="L58" s="17">
        <f t="shared" si="19"/>
        <v>1194113.4689611434</v>
      </c>
      <c r="M58" s="17">
        <f t="shared" si="19"/>
        <v>1123277.7645470884</v>
      </c>
      <c r="N58" s="17">
        <f t="shared" si="19"/>
        <v>1171499.9538294142</v>
      </c>
      <c r="O58" s="17">
        <f t="shared" si="19"/>
        <v>1100658.4690995736</v>
      </c>
      <c r="P58" s="16"/>
    </row>
    <row r="59" spans="1:16" x14ac:dyDescent="0.2">
      <c r="A59" s="8" t="s">
        <v>319</v>
      </c>
      <c r="B59" t="s">
        <v>320</v>
      </c>
      <c r="C59" s="15">
        <f>Hist_BS!$AI$26</f>
        <v>251250</v>
      </c>
      <c r="D59" s="15">
        <f t="shared" ref="D59:O59" si="20">D111-D57</f>
        <v>235000</v>
      </c>
      <c r="E59" s="15">
        <f t="shared" si="20"/>
        <v>218750</v>
      </c>
      <c r="F59" s="15">
        <f t="shared" si="20"/>
        <v>202500</v>
      </c>
      <c r="G59" s="15">
        <f t="shared" si="20"/>
        <v>195000</v>
      </c>
      <c r="H59" s="15">
        <f t="shared" si="20"/>
        <v>187500</v>
      </c>
      <c r="I59" s="15">
        <f t="shared" si="20"/>
        <v>180000</v>
      </c>
      <c r="J59" s="15">
        <f t="shared" si="20"/>
        <v>172500</v>
      </c>
      <c r="K59" s="15">
        <f t="shared" si="20"/>
        <v>165000</v>
      </c>
      <c r="L59" s="15">
        <f t="shared" si="20"/>
        <v>157500</v>
      </c>
      <c r="M59" s="15">
        <f t="shared" si="20"/>
        <v>150000</v>
      </c>
      <c r="N59" s="15">
        <f t="shared" si="20"/>
        <v>142500</v>
      </c>
      <c r="O59" s="15">
        <f t="shared" si="20"/>
        <v>135000</v>
      </c>
    </row>
    <row r="60" spans="1:16" x14ac:dyDescent="0.2">
      <c r="A60" s="16" t="s">
        <v>321</v>
      </c>
      <c r="B60" s="16" t="s">
        <v>322</v>
      </c>
      <c r="C60" s="17">
        <f>Hist_BS!$AI$27</f>
        <v>1399667.4100000001</v>
      </c>
      <c r="D60" s="17">
        <f t="shared" ref="D60:O60" si="21">D58+D59</f>
        <v>1862662.7161458936</v>
      </c>
      <c r="E60" s="17">
        <f t="shared" si="21"/>
        <v>1780807.9158136365</v>
      </c>
      <c r="F60" s="17">
        <f t="shared" si="21"/>
        <v>1650948.4797606512</v>
      </c>
      <c r="G60" s="17">
        <f t="shared" si="21"/>
        <v>1607222.0740659225</v>
      </c>
      <c r="H60" s="17">
        <f t="shared" si="21"/>
        <v>1611068.9044756955</v>
      </c>
      <c r="I60" s="17">
        <f t="shared" si="21"/>
        <v>1320893.4396302064</v>
      </c>
      <c r="J60" s="17">
        <f t="shared" si="21"/>
        <v>1316512.3809958831</v>
      </c>
      <c r="K60" s="17">
        <f t="shared" si="21"/>
        <v>1264861.8605073644</v>
      </c>
      <c r="L60" s="17">
        <f t="shared" si="21"/>
        <v>1351613.4689611434</v>
      </c>
      <c r="M60" s="17">
        <f t="shared" si="21"/>
        <v>1273277.7645470884</v>
      </c>
      <c r="N60" s="17">
        <f t="shared" si="21"/>
        <v>1313999.9538294142</v>
      </c>
      <c r="O60" s="17">
        <f t="shared" si="21"/>
        <v>1235658.4690995736</v>
      </c>
      <c r="P60" s="16"/>
    </row>
    <row r="61" spans="1:16" x14ac:dyDescent="0.2">
      <c r="A61" s="8" t="s">
        <v>323</v>
      </c>
      <c r="B61" t="s">
        <v>324</v>
      </c>
      <c r="C61" s="15">
        <f>-Hist_Balances!$AJ$28</f>
        <v>200000</v>
      </c>
      <c r="D61" s="15">
        <f t="shared" ref="D61:O61" si="22">C61</f>
        <v>200000</v>
      </c>
      <c r="E61" s="15">
        <f t="shared" si="22"/>
        <v>200000</v>
      </c>
      <c r="F61" s="15">
        <f t="shared" si="22"/>
        <v>200000</v>
      </c>
      <c r="G61" s="15">
        <f t="shared" si="22"/>
        <v>200000</v>
      </c>
      <c r="H61" s="15">
        <f t="shared" si="22"/>
        <v>200000</v>
      </c>
      <c r="I61" s="15">
        <f t="shared" si="22"/>
        <v>200000</v>
      </c>
      <c r="J61" s="15">
        <f t="shared" si="22"/>
        <v>200000</v>
      </c>
      <c r="K61" s="15">
        <f t="shared" si="22"/>
        <v>200000</v>
      </c>
      <c r="L61" s="15">
        <f t="shared" si="22"/>
        <v>200000</v>
      </c>
      <c r="M61" s="15">
        <f t="shared" si="22"/>
        <v>200000</v>
      </c>
      <c r="N61" s="15">
        <f t="shared" si="22"/>
        <v>200000</v>
      </c>
      <c r="O61" s="15">
        <f t="shared" si="22"/>
        <v>200000</v>
      </c>
    </row>
    <row r="62" spans="1:16" x14ac:dyDescent="0.2">
      <c r="A62" s="8" t="s">
        <v>325</v>
      </c>
      <c r="B62" t="s">
        <v>326</v>
      </c>
      <c r="C62" s="15">
        <f>-(Hist_Balances!$AJ$29+Hist_Balances!$AJ$30)</f>
        <v>1387373.35</v>
      </c>
      <c r="D62" s="15">
        <f>C62+IF(Drivers!D29,C63+D36,0)+D80</f>
        <v>1387373.35</v>
      </c>
      <c r="E62" s="15">
        <f>D62+IF(Drivers!E29,D63+E36,0)+E80</f>
        <v>1387373.35</v>
      </c>
      <c r="F62" s="15">
        <f>E62+IF(Drivers!F29,E63+F36,0)+F80</f>
        <v>2154823.6188910496</v>
      </c>
      <c r="G62" s="15">
        <f>F62+IF(Drivers!G29,F63+G36,0)+G80</f>
        <v>2154823.6188910496</v>
      </c>
      <c r="H62" s="15">
        <f>G62+IF(Drivers!H29,G63+H36,0)+H80</f>
        <v>2154823.6188910496</v>
      </c>
      <c r="I62" s="15">
        <f>H62+IF(Drivers!I29,H63+I36,0)+I80</f>
        <v>2154823.6188910496</v>
      </c>
      <c r="J62" s="15">
        <f>I62+IF(Drivers!J29,I63+J36,0)+J80</f>
        <v>2154823.6188910496</v>
      </c>
      <c r="K62" s="15">
        <f>J62+IF(Drivers!K29,J63+K36,0)+K80</f>
        <v>2154823.6188910496</v>
      </c>
      <c r="L62" s="15">
        <f>K62+IF(Drivers!L29,K63+L36,0)+L80</f>
        <v>2154823.6188910496</v>
      </c>
      <c r="M62" s="15">
        <f>L62+IF(Drivers!M29,L63+M36,0)+M80</f>
        <v>2154823.6188910496</v>
      </c>
      <c r="N62" s="15">
        <f>M62+IF(Drivers!N29,M63+N36,0)+N80</f>
        <v>2154823.6188910496</v>
      </c>
      <c r="O62" s="15">
        <f>N62+IF(Drivers!O29,N63+O36,0)+O80</f>
        <v>2154823.6188910496</v>
      </c>
    </row>
    <row r="63" spans="1:16" x14ac:dyDescent="0.2">
      <c r="A63" s="8" t="s">
        <v>327</v>
      </c>
      <c r="B63" t="s">
        <v>328</v>
      </c>
      <c r="C63" s="15">
        <f>Hist_BS!$AI$30</f>
        <v>710315.33</v>
      </c>
      <c r="D63" s="15">
        <f>IF(Drivers!D29,0,C63+D36)</f>
        <v>997936.20908183802</v>
      </c>
      <c r="E63" s="15">
        <f>IF(Drivers!E29,0,D63+E36)</f>
        <v>1230132.5505458866</v>
      </c>
      <c r="F63" s="15">
        <f>IF(Drivers!F29,0,E63+F36)</f>
        <v>0</v>
      </c>
      <c r="G63" s="15">
        <f>IF(Drivers!G29,0,F63+G36)</f>
        <v>54852.666079215647</v>
      </c>
      <c r="H63" s="15">
        <f>IF(Drivers!H29,0,G63+H36)</f>
        <v>122465.89387353718</v>
      </c>
      <c r="I63" s="15">
        <f>IF(Drivers!I29,0,H63+I36)</f>
        <v>164729.53533792007</v>
      </c>
      <c r="J63" s="15">
        <f>IF(Drivers!J29,0,I63+J36)</f>
        <v>290759.07983480627</v>
      </c>
      <c r="K63" s="15">
        <f>IF(Drivers!K29,0,J63+K36)</f>
        <v>385129.2614891408</v>
      </c>
      <c r="L63" s="15">
        <f>IF(Drivers!L29,0,K63+L36)</f>
        <v>462530.14151470095</v>
      </c>
      <c r="M63" s="15">
        <f>IF(Drivers!M29,0,L63+M36)</f>
        <v>524938.7014916396</v>
      </c>
      <c r="N63" s="15">
        <f>IF(Drivers!N29,0,M63+N36)</f>
        <v>594261.40675133956</v>
      </c>
      <c r="O63" s="15">
        <f>IF(Drivers!O29,0,N63+O36)</f>
        <v>598780.3873003656</v>
      </c>
    </row>
    <row r="64" spans="1:16" x14ac:dyDescent="0.2">
      <c r="A64" s="16" t="s">
        <v>329</v>
      </c>
      <c r="B64" s="16" t="s">
        <v>330</v>
      </c>
      <c r="C64" s="17">
        <f>Hist_BS!$AI$31</f>
        <v>2297688.6800000002</v>
      </c>
      <c r="D64" s="17">
        <f t="shared" ref="D64:O64" si="23">D61+D62+D63</f>
        <v>2585309.559081838</v>
      </c>
      <c r="E64" s="17">
        <f t="shared" si="23"/>
        <v>2817505.9005458867</v>
      </c>
      <c r="F64" s="17">
        <f t="shared" si="23"/>
        <v>2354823.6188910496</v>
      </c>
      <c r="G64" s="17">
        <f t="shared" si="23"/>
        <v>2409676.2849702653</v>
      </c>
      <c r="H64" s="17">
        <f t="shared" si="23"/>
        <v>2477289.5127645866</v>
      </c>
      <c r="I64" s="17">
        <f t="shared" si="23"/>
        <v>2519553.1542289695</v>
      </c>
      <c r="J64" s="17">
        <f t="shared" si="23"/>
        <v>2645582.6987258559</v>
      </c>
      <c r="K64" s="17">
        <f t="shared" si="23"/>
        <v>2739952.8803801904</v>
      </c>
      <c r="L64" s="17">
        <f t="shared" si="23"/>
        <v>2817353.7604057505</v>
      </c>
      <c r="M64" s="17">
        <f t="shared" si="23"/>
        <v>2879762.3203826891</v>
      </c>
      <c r="N64" s="17">
        <f t="shared" si="23"/>
        <v>2949085.0256423894</v>
      </c>
      <c r="O64" s="17">
        <f t="shared" si="23"/>
        <v>2953604.0061914152</v>
      </c>
      <c r="P64" s="16"/>
    </row>
    <row r="65" spans="1:16" x14ac:dyDescent="0.2">
      <c r="A65" s="16" t="s">
        <v>331</v>
      </c>
      <c r="B65" s="16" t="s">
        <v>332</v>
      </c>
      <c r="C65" s="17">
        <f>Hist_BS!$AI$32</f>
        <v>3697356.0900000003</v>
      </c>
      <c r="D65" s="17">
        <f t="shared" ref="D65:O65" si="24">D60+D64</f>
        <v>4447972.2752277311</v>
      </c>
      <c r="E65" s="17">
        <f t="shared" si="24"/>
        <v>4598313.8163595237</v>
      </c>
      <c r="F65" s="17">
        <f t="shared" si="24"/>
        <v>4005772.0986517007</v>
      </c>
      <c r="G65" s="17">
        <f t="shared" si="24"/>
        <v>4016898.3590361876</v>
      </c>
      <c r="H65" s="17">
        <f t="shared" si="24"/>
        <v>4088358.4172402821</v>
      </c>
      <c r="I65" s="17">
        <f t="shared" si="24"/>
        <v>3840446.5938591762</v>
      </c>
      <c r="J65" s="17">
        <f t="shared" si="24"/>
        <v>3962095.0797217391</v>
      </c>
      <c r="K65" s="17">
        <f t="shared" si="24"/>
        <v>4004814.7408875548</v>
      </c>
      <c r="L65" s="17">
        <f t="shared" si="24"/>
        <v>4168967.2293668939</v>
      </c>
      <c r="M65" s="17">
        <f t="shared" si="24"/>
        <v>4153040.0849297773</v>
      </c>
      <c r="N65" s="17">
        <f t="shared" si="24"/>
        <v>4263084.9794718036</v>
      </c>
      <c r="O65" s="17">
        <f t="shared" si="24"/>
        <v>4189262.4752909886</v>
      </c>
      <c r="P65" s="16"/>
    </row>
    <row r="67" spans="1:16" x14ac:dyDescent="0.2">
      <c r="A67" s="14" t="s">
        <v>333</v>
      </c>
    </row>
    <row r="68" spans="1:16" x14ac:dyDescent="0.2">
      <c r="A68" s="8" t="s">
        <v>334</v>
      </c>
      <c r="B68" t="s">
        <v>277</v>
      </c>
      <c r="D68" s="15">
        <f t="shared" ref="D68:O68" si="25">D36</f>
        <v>287620.87908183807</v>
      </c>
      <c r="E68" s="15">
        <f t="shared" si="25"/>
        <v>232196.34146404872</v>
      </c>
      <c r="F68" s="15">
        <f t="shared" si="25"/>
        <v>48317.718345162961</v>
      </c>
      <c r="G68" s="15">
        <f t="shared" si="25"/>
        <v>54852.666079215647</v>
      </c>
      <c r="H68" s="15">
        <f t="shared" si="25"/>
        <v>67613.22779432153</v>
      </c>
      <c r="I68" s="15">
        <f t="shared" si="25"/>
        <v>42263.641464382876</v>
      </c>
      <c r="J68" s="15">
        <f t="shared" si="25"/>
        <v>126029.5444968862</v>
      </c>
      <c r="K68" s="15">
        <f t="shared" si="25"/>
        <v>94370.181654334534</v>
      </c>
      <c r="L68" s="15">
        <f t="shared" si="25"/>
        <v>77400.880025560153</v>
      </c>
      <c r="M68" s="15">
        <f t="shared" si="25"/>
        <v>62408.559976938697</v>
      </c>
      <c r="N68" s="15">
        <f t="shared" si="25"/>
        <v>69322.705259699927</v>
      </c>
      <c r="O68" s="15">
        <f t="shared" si="25"/>
        <v>4518.9805490260387</v>
      </c>
      <c r="P68" s="15">
        <f t="shared" ref="P68:P82" si="26">SUM(D68:O68)</f>
        <v>1166915.3261914153</v>
      </c>
    </row>
    <row r="69" spans="1:16" x14ac:dyDescent="0.2">
      <c r="A69" s="8" t="s">
        <v>335</v>
      </c>
      <c r="B69" t="s">
        <v>267</v>
      </c>
      <c r="D69" s="15">
        <f t="shared" ref="D69:O69" si="27">-D31</f>
        <v>23245.84</v>
      </c>
      <c r="E69" s="15">
        <f t="shared" si="27"/>
        <v>23245.84</v>
      </c>
      <c r="F69" s="15">
        <f t="shared" si="27"/>
        <v>23245.84</v>
      </c>
      <c r="G69" s="15">
        <f t="shared" si="27"/>
        <v>23245.84</v>
      </c>
      <c r="H69" s="15">
        <f t="shared" si="27"/>
        <v>23245.84</v>
      </c>
      <c r="I69" s="15">
        <f t="shared" si="27"/>
        <v>23245.84</v>
      </c>
      <c r="J69" s="15">
        <f t="shared" si="27"/>
        <v>22162.71</v>
      </c>
      <c r="K69" s="15">
        <f t="shared" si="27"/>
        <v>22162.51</v>
      </c>
      <c r="L69" s="15">
        <f t="shared" si="27"/>
        <v>22162.51</v>
      </c>
      <c r="M69" s="15">
        <f t="shared" si="27"/>
        <v>22162.51</v>
      </c>
      <c r="N69" s="15">
        <f t="shared" si="27"/>
        <v>22162.51</v>
      </c>
      <c r="O69" s="15">
        <f t="shared" si="27"/>
        <v>22162.51</v>
      </c>
      <c r="P69" s="15">
        <f t="shared" si="26"/>
        <v>272450.30000000005</v>
      </c>
    </row>
    <row r="70" spans="1:16" x14ac:dyDescent="0.2">
      <c r="A70" s="8" t="s">
        <v>336</v>
      </c>
      <c r="B70" t="s">
        <v>337</v>
      </c>
      <c r="D70" s="15">
        <f t="shared" ref="D70:O70" si="28">C40+C41-D40-D41</f>
        <v>-297260.9176956052</v>
      </c>
      <c r="E70" s="15">
        <f t="shared" si="28"/>
        <v>92241.505702771057</v>
      </c>
      <c r="F70" s="15">
        <f t="shared" si="28"/>
        <v>207586.37600904581</v>
      </c>
      <c r="G70" s="15">
        <f t="shared" si="28"/>
        <v>-1636.3178782993928</v>
      </c>
      <c r="H70" s="15">
        <f t="shared" si="28"/>
        <v>7756.9078786461614</v>
      </c>
      <c r="I70" s="15">
        <f t="shared" si="28"/>
        <v>2016.6807264504023</v>
      </c>
      <c r="J70" s="15">
        <f t="shared" si="28"/>
        <v>-65441.081612323076</v>
      </c>
      <c r="K70" s="15">
        <f t="shared" si="28"/>
        <v>52827.873715551774</v>
      </c>
      <c r="L70" s="15">
        <f t="shared" si="28"/>
        <v>-23164.06920716491</v>
      </c>
      <c r="M70" s="15">
        <f t="shared" si="28"/>
        <v>11625.896913123754</v>
      </c>
      <c r="N70" s="15">
        <f t="shared" si="28"/>
        <v>-2604.2049672798312</v>
      </c>
      <c r="O70" s="15">
        <f t="shared" si="28"/>
        <v>86616.565003831711</v>
      </c>
      <c r="P70" s="15">
        <f t="shared" si="26"/>
        <v>70565.214588748277</v>
      </c>
    </row>
    <row r="71" spans="1:16" x14ac:dyDescent="0.2">
      <c r="A71" s="8" t="s">
        <v>338</v>
      </c>
      <c r="B71" t="s">
        <v>339</v>
      </c>
      <c r="D71" s="15">
        <f t="shared" ref="D71:O71" si="29">C42+C43-D42-D43</f>
        <v>-85969.289588917352</v>
      </c>
      <c r="E71" s="15">
        <f t="shared" si="29"/>
        <v>18259.620191992883</v>
      </c>
      <c r="F71" s="15">
        <f t="shared" si="29"/>
        <v>45363.466540462628</v>
      </c>
      <c r="G71" s="15">
        <f t="shared" si="29"/>
        <v>4080.0843372917971</v>
      </c>
      <c r="H71" s="15">
        <f t="shared" si="29"/>
        <v>37.753925093784346</v>
      </c>
      <c r="I71" s="15">
        <f t="shared" si="29"/>
        <v>4684.5161955001004</v>
      </c>
      <c r="J71" s="15">
        <f t="shared" si="29"/>
        <v>-11783.825235227929</v>
      </c>
      <c r="K71" s="15">
        <f t="shared" si="29"/>
        <v>14706.687162427721</v>
      </c>
      <c r="L71" s="15">
        <f t="shared" si="29"/>
        <v>-8622.4729702895147</v>
      </c>
      <c r="M71" s="15">
        <f t="shared" si="29"/>
        <v>4042.5928308774746</v>
      </c>
      <c r="N71" s="15">
        <f t="shared" si="29"/>
        <v>-3142.2287407087133</v>
      </c>
      <c r="O71" s="15">
        <f t="shared" si="29"/>
        <v>20970.17453054816</v>
      </c>
      <c r="P71" s="15">
        <f t="shared" si="26"/>
        <v>2627.0791790510411</v>
      </c>
    </row>
    <row r="72" spans="1:16" x14ac:dyDescent="0.2">
      <c r="A72" s="8" t="s">
        <v>340</v>
      </c>
      <c r="B72" t="s">
        <v>341</v>
      </c>
      <c r="D72" s="15">
        <f t="shared" ref="D72:O72" si="30">C44-D44</f>
        <v>-53850.132211623859</v>
      </c>
      <c r="E72" s="15">
        <f t="shared" si="30"/>
        <v>16005.979077369615</v>
      </c>
      <c r="F72" s="15">
        <f t="shared" si="30"/>
        <v>20622.215485522582</v>
      </c>
      <c r="G72" s="15">
        <f t="shared" si="30"/>
        <v>1639.2284004655958</v>
      </c>
      <c r="H72" s="15">
        <f t="shared" si="30"/>
        <v>3726.1481826483359</v>
      </c>
      <c r="I72" s="15">
        <f t="shared" si="30"/>
        <v>-4043.1632578931894</v>
      </c>
      <c r="J72" s="15">
        <f t="shared" si="30"/>
        <v>-4168.0929350297374</v>
      </c>
      <c r="K72" s="15">
        <f t="shared" si="30"/>
        <v>9881.7622969495424</v>
      </c>
      <c r="L72" s="15">
        <f t="shared" si="30"/>
        <v>-10177.933256783726</v>
      </c>
      <c r="M72" s="15">
        <f t="shared" si="30"/>
        <v>2329.8710233583697</v>
      </c>
      <c r="N72" s="15">
        <f t="shared" si="30"/>
        <v>335.00010503747035</v>
      </c>
      <c r="O72" s="15">
        <f t="shared" si="30"/>
        <v>11421.830197752366</v>
      </c>
      <c r="P72" s="15">
        <f t="shared" si="26"/>
        <v>-6277.2868922266352</v>
      </c>
    </row>
    <row r="73" spans="1:16" x14ac:dyDescent="0.2">
      <c r="A73" s="8" t="s">
        <v>342</v>
      </c>
      <c r="B73" t="s">
        <v>343</v>
      </c>
      <c r="D73" s="15">
        <f t="shared" ref="D73:O73" si="31">D52-C52</f>
        <v>440886.61258482758</v>
      </c>
      <c r="E73" s="15">
        <f t="shared" si="31"/>
        <v>-155103.28494509961</v>
      </c>
      <c r="F73" s="15">
        <f t="shared" si="31"/>
        <v>-167250.2476053969</v>
      </c>
      <c r="G73" s="15">
        <f t="shared" si="31"/>
        <v>38561.344977681758</v>
      </c>
      <c r="H73" s="15">
        <f t="shared" si="31"/>
        <v>-3062.6971625166479</v>
      </c>
      <c r="I73" s="15">
        <f t="shared" si="31"/>
        <v>-17359.811631339137</v>
      </c>
      <c r="J73" s="15">
        <f t="shared" si="31"/>
        <v>47831.967901524738</v>
      </c>
      <c r="K73" s="15">
        <f t="shared" si="31"/>
        <v>-69486.163685416686</v>
      </c>
      <c r="L73" s="15">
        <f t="shared" si="31"/>
        <v>45967.040813285043</v>
      </c>
      <c r="M73" s="15">
        <f t="shared" si="31"/>
        <v>-23236.268203877495</v>
      </c>
      <c r="N73" s="15">
        <f t="shared" si="31"/>
        <v>14820.969033202971</v>
      </c>
      <c r="O73" s="15">
        <f t="shared" si="31"/>
        <v>-87607.336015647743</v>
      </c>
      <c r="P73" s="15">
        <f t="shared" si="26"/>
        <v>64962.126061227871</v>
      </c>
    </row>
    <row r="74" spans="1:16" x14ac:dyDescent="0.2">
      <c r="A74" s="8" t="s">
        <v>344</v>
      </c>
      <c r="B74" t="s">
        <v>345</v>
      </c>
      <c r="D74" s="15">
        <f t="shared" ref="D74:O74" si="32">C45-D45+D53-C53+D107-C107+D55-C55</f>
        <v>47386.95356106601</v>
      </c>
      <c r="E74" s="15">
        <f t="shared" si="32"/>
        <v>98526.744612842391</v>
      </c>
      <c r="F74" s="15">
        <f t="shared" si="32"/>
        <v>62669.071552411828</v>
      </c>
      <c r="G74" s="15">
        <f t="shared" si="32"/>
        <v>-169321.04507241055</v>
      </c>
      <c r="H74" s="15">
        <f t="shared" si="32"/>
        <v>32548.917972289433</v>
      </c>
      <c r="I74" s="15">
        <f t="shared" si="32"/>
        <v>-247176.26281414984</v>
      </c>
      <c r="J74" s="15">
        <f t="shared" si="32"/>
        <v>-26573.636135847766</v>
      </c>
      <c r="K74" s="15">
        <f t="shared" si="32"/>
        <v>43475.033596897913</v>
      </c>
      <c r="L74" s="15">
        <f t="shared" si="32"/>
        <v>66423.958040493744</v>
      </c>
      <c r="M74" s="15">
        <f t="shared" si="32"/>
        <v>-29460.045810177369</v>
      </c>
      <c r="N74" s="15">
        <f t="shared" si="32"/>
        <v>51540.610649122798</v>
      </c>
      <c r="O74" s="15">
        <f t="shared" si="32"/>
        <v>34905.241685807079</v>
      </c>
      <c r="P74" s="15">
        <f t="shared" si="26"/>
        <v>-35054.458161654344</v>
      </c>
    </row>
    <row r="75" spans="1:16" x14ac:dyDescent="0.2">
      <c r="A75" s="16" t="s">
        <v>346</v>
      </c>
      <c r="B75" s="16" t="s">
        <v>347</v>
      </c>
      <c r="C75" s="16"/>
      <c r="D75" s="17">
        <f t="shared" ref="D75:O75" si="33">D68+D69+D70+D71+D72+D73+D74</f>
        <v>362059.94573158526</v>
      </c>
      <c r="E75" s="17">
        <f t="shared" si="33"/>
        <v>325372.74610392505</v>
      </c>
      <c r="F75" s="17">
        <f t="shared" si="33"/>
        <v>240554.4403272089</v>
      </c>
      <c r="G75" s="17">
        <f t="shared" si="33"/>
        <v>-48578.19915605514</v>
      </c>
      <c r="H75" s="17">
        <f t="shared" si="33"/>
        <v>131866.09859048261</v>
      </c>
      <c r="I75" s="17">
        <f t="shared" si="33"/>
        <v>-196368.55931704881</v>
      </c>
      <c r="J75" s="17">
        <f t="shared" si="33"/>
        <v>88057.586479982419</v>
      </c>
      <c r="K75" s="17">
        <f t="shared" si="33"/>
        <v>167937.88474074478</v>
      </c>
      <c r="L75" s="17">
        <f t="shared" si="33"/>
        <v>169989.91344510077</v>
      </c>
      <c r="M75" s="17">
        <f t="shared" si="33"/>
        <v>49873.116730243433</v>
      </c>
      <c r="N75" s="17">
        <f t="shared" si="33"/>
        <v>152435.36133907462</v>
      </c>
      <c r="O75" s="17">
        <f t="shared" si="33"/>
        <v>92987.965951317616</v>
      </c>
      <c r="P75" s="17">
        <f t="shared" si="26"/>
        <v>1536188.3009665615</v>
      </c>
    </row>
    <row r="76" spans="1:16" x14ac:dyDescent="0.2">
      <c r="A76" s="8" t="s">
        <v>348</v>
      </c>
      <c r="B76" t="s">
        <v>349</v>
      </c>
      <c r="D76" s="15">
        <f>-Drivers!D22</f>
        <v>0</v>
      </c>
      <c r="E76" s="15">
        <f>-Drivers!E22</f>
        <v>0</v>
      </c>
      <c r="F76" s="15">
        <f>-Drivers!F22</f>
        <v>0</v>
      </c>
      <c r="G76" s="15">
        <f>-Drivers!G22</f>
        <v>0</v>
      </c>
      <c r="H76" s="15">
        <f>-Drivers!H22</f>
        <v>0</v>
      </c>
      <c r="I76" s="15">
        <f>-Drivers!I22</f>
        <v>-60000</v>
      </c>
      <c r="J76" s="15">
        <f>-Drivers!J22</f>
        <v>0</v>
      </c>
      <c r="K76" s="15">
        <f>-Drivers!K22</f>
        <v>0</v>
      </c>
      <c r="L76" s="15">
        <f>-Drivers!L22</f>
        <v>0</v>
      </c>
      <c r="M76" s="15">
        <f>-Drivers!M22</f>
        <v>0</v>
      </c>
      <c r="N76" s="15">
        <f>-Drivers!N22</f>
        <v>0</v>
      </c>
      <c r="O76" s="15">
        <f>-Drivers!O22</f>
        <v>0</v>
      </c>
      <c r="P76" s="15">
        <f t="shared" si="26"/>
        <v>-60000</v>
      </c>
    </row>
    <row r="77" spans="1:16" x14ac:dyDescent="0.2">
      <c r="A77" s="8" t="s">
        <v>350</v>
      </c>
      <c r="B77" t="s">
        <v>351</v>
      </c>
      <c r="D77" s="15">
        <f>-MIN(Drivers!D24,C111)</f>
        <v>-16250</v>
      </c>
      <c r="E77" s="15">
        <f>-MIN(Drivers!E24,D111)</f>
        <v>-16250</v>
      </c>
      <c r="F77" s="15">
        <f>-MIN(Drivers!F24,E111)</f>
        <v>-16250</v>
      </c>
      <c r="G77" s="15">
        <f>-MIN(Drivers!G24,F111)</f>
        <v>-16250</v>
      </c>
      <c r="H77" s="15">
        <f>-MIN(Drivers!H24,G111)</f>
        <v>-16250</v>
      </c>
      <c r="I77" s="15">
        <f>-MIN(Drivers!I24,H111)</f>
        <v>-16250</v>
      </c>
      <c r="J77" s="15">
        <f>-MIN(Drivers!J24,I111)</f>
        <v>-16250</v>
      </c>
      <c r="K77" s="15">
        <f>-MIN(Drivers!K24,J111)</f>
        <v>-16250</v>
      </c>
      <c r="L77" s="15">
        <f>-MIN(Drivers!L24,K111)</f>
        <v>-16250</v>
      </c>
      <c r="M77" s="15">
        <f>-MIN(Drivers!M24,L111)</f>
        <v>-16250</v>
      </c>
      <c r="N77" s="15">
        <f>-MIN(Drivers!N24,M111)</f>
        <v>-16250</v>
      </c>
      <c r="O77" s="15">
        <f>-MIN(Drivers!O24,N111)</f>
        <v>-16250</v>
      </c>
      <c r="P77" s="15">
        <f t="shared" si="26"/>
        <v>-195000</v>
      </c>
    </row>
    <row r="78" spans="1:16" x14ac:dyDescent="0.2">
      <c r="A78" s="8" t="s">
        <v>352</v>
      </c>
      <c r="B78" t="s">
        <v>353</v>
      </c>
      <c r="D78" s="15">
        <f>IF(D110&lt;Assumptions!$H$60,MIN(Assumptions!$H$59-C56,CEILING(MAX(0,Assumptions!$H$61-D110),Assumptions!$H$63)),0)</f>
        <v>0</v>
      </c>
      <c r="E78" s="15">
        <f>IF(E110&lt;Assumptions!$H$60,MIN(Assumptions!$H$59-D56,CEILING(MAX(0,Assumptions!$H$61-E110),Assumptions!$H$63)),0)</f>
        <v>0</v>
      </c>
      <c r="F78" s="15">
        <f>IF(F110&lt;Assumptions!$H$60,MIN(Assumptions!$H$59-E56,CEILING(MAX(0,Assumptions!$H$61-F110),Assumptions!$H$63)),0)</f>
        <v>0</v>
      </c>
      <c r="G78" s="15">
        <f>IF(G110&lt;Assumptions!$H$60,MIN(Assumptions!$H$59-F56,CEILING(MAX(0,Assumptions!$H$61-G110),Assumptions!$H$63)),0)</f>
        <v>0</v>
      </c>
      <c r="H78" s="15">
        <f>IF(H110&lt;Assumptions!$H$60,MIN(Assumptions!$H$59-G56,CEILING(MAX(0,Assumptions!$H$61-H110),Assumptions!$H$63)),0)</f>
        <v>0</v>
      </c>
      <c r="I78" s="15">
        <f>IF(I110&lt;Assumptions!$H$60,MIN(Assumptions!$H$59-H56,CEILING(MAX(0,Assumptions!$H$61-I110),Assumptions!$H$63)),0)</f>
        <v>0</v>
      </c>
      <c r="J78" s="15">
        <f>IF(J110&lt;Assumptions!$H$60,MIN(Assumptions!$H$59-I56,CEILING(MAX(0,Assumptions!$H$61-J110),Assumptions!$H$63)),0)</f>
        <v>0</v>
      </c>
      <c r="K78" s="15">
        <f>IF(K110&lt;Assumptions!$H$60,MIN(Assumptions!$H$59-J56,CEILING(MAX(0,Assumptions!$H$61-K110),Assumptions!$H$63)),0)</f>
        <v>0</v>
      </c>
      <c r="L78" s="15">
        <f>IF(L110&lt;Assumptions!$H$60,MIN(Assumptions!$H$59-K56,CEILING(MAX(0,Assumptions!$H$61-L110),Assumptions!$H$63)),0)</f>
        <v>0</v>
      </c>
      <c r="M78" s="15">
        <f>IF(M110&lt;Assumptions!$H$60,MIN(Assumptions!$H$59-L56,CEILING(MAX(0,Assumptions!$H$61-M110),Assumptions!$H$63)),0)</f>
        <v>0</v>
      </c>
      <c r="N78" s="15">
        <f>IF(N110&lt;Assumptions!$H$60,MIN(Assumptions!$H$59-M56,CEILING(MAX(0,Assumptions!$H$61-N110),Assumptions!$H$63)),0)</f>
        <v>0</v>
      </c>
      <c r="O78" s="15">
        <f>IF(O110&lt;Assumptions!$H$60,MIN(Assumptions!$H$59-N56,CEILING(MAX(0,Assumptions!$H$61-O110),Assumptions!$H$63)),0)</f>
        <v>0</v>
      </c>
      <c r="P78" s="15">
        <f t="shared" si="26"/>
        <v>0</v>
      </c>
    </row>
    <row r="79" spans="1:16" x14ac:dyDescent="0.2">
      <c r="A79" s="8" t="s">
        <v>354</v>
      </c>
      <c r="B79" t="s">
        <v>355</v>
      </c>
      <c r="D79" s="15">
        <f>IF((D110&gt;Assumptions!$H$62)*(C56&gt;0),-MIN(C56,FLOOR(MAX(0,D110-Assumptions!$H$61),Assumptions!$H$63)),0)</f>
        <v>0</v>
      </c>
      <c r="E79" s="15">
        <f>IF((E110&gt;Assumptions!$H$62)*(D56&gt;0),-MIN(D56,FLOOR(MAX(0,E110-Assumptions!$H$61),Assumptions!$H$63)),0)</f>
        <v>0</v>
      </c>
      <c r="F79" s="15">
        <f>IF((F110&gt;Assumptions!$H$62)*(E56&gt;0),-MIN(E56,FLOOR(MAX(0,F110-Assumptions!$H$61),Assumptions!$H$63)),0)</f>
        <v>0</v>
      </c>
      <c r="G79" s="15">
        <f>IF((G110&gt;Assumptions!$H$62)*(F56&gt;0),-MIN(F56,FLOOR(MAX(0,G110-Assumptions!$H$61),Assumptions!$H$63)),0)</f>
        <v>0</v>
      </c>
      <c r="H79" s="15">
        <f>IF((H110&gt;Assumptions!$H$62)*(G56&gt;0),-MIN(G56,FLOOR(MAX(0,H110-Assumptions!$H$61),Assumptions!$H$63)),0)</f>
        <v>0</v>
      </c>
      <c r="I79" s="15">
        <f>IF((I110&gt;Assumptions!$H$62)*(H56&gt;0),-MIN(H56,FLOOR(MAX(0,I110-Assumptions!$H$61),Assumptions!$H$63)),0)</f>
        <v>0</v>
      </c>
      <c r="J79" s="15">
        <f>IF((J110&gt;Assumptions!$H$62)*(I56&gt;0),-MIN(I56,FLOOR(MAX(0,J110-Assumptions!$H$61),Assumptions!$H$63)),0)</f>
        <v>0</v>
      </c>
      <c r="K79" s="15">
        <f>IF((K110&gt;Assumptions!$H$62)*(J56&gt;0),-MIN(J56,FLOOR(MAX(0,K110-Assumptions!$H$61),Assumptions!$H$63)),0)</f>
        <v>0</v>
      </c>
      <c r="L79" s="15">
        <f>IF((L110&gt;Assumptions!$H$62)*(K56&gt;0),-MIN(K56,FLOOR(MAX(0,L110-Assumptions!$H$61),Assumptions!$H$63)),0)</f>
        <v>0</v>
      </c>
      <c r="M79" s="15">
        <f>IF((M110&gt;Assumptions!$H$62)*(L56&gt;0),-MIN(L56,FLOOR(MAX(0,M110-Assumptions!$H$61),Assumptions!$H$63)),0)</f>
        <v>0</v>
      </c>
      <c r="N79" s="15">
        <f>IF((N110&gt;Assumptions!$H$62)*(M56&gt;0),-MIN(M56,FLOOR(MAX(0,N110-Assumptions!$H$61),Assumptions!$H$63)),0)</f>
        <v>0</v>
      </c>
      <c r="O79" s="15">
        <f>IF((O110&gt;Assumptions!$H$62)*(N56&gt;0),-MIN(N56,FLOOR(MAX(0,O110-Assumptions!$H$61),Assumptions!$H$63)),0)</f>
        <v>0</v>
      </c>
      <c r="P79" s="15">
        <f t="shared" si="26"/>
        <v>0</v>
      </c>
    </row>
    <row r="80" spans="1:16" x14ac:dyDescent="0.2">
      <c r="A80" s="8" t="s">
        <v>356</v>
      </c>
      <c r="B80" t="s">
        <v>357</v>
      </c>
      <c r="D80" s="15">
        <f>IF(Drivers!D29*(D56&lt;0.005),-FLOOR(MIN(Assumptions!$H$64*MAX(0,D119),MAX(0,D110+D78+D79-Assumptions!$H$65)),1000),0)</f>
        <v>0</v>
      </c>
      <c r="E80" s="15">
        <f>IF(Drivers!E29*(E56&lt;0.005),-FLOOR(MIN(Assumptions!$H$64*MAX(0,E119),MAX(0,E110+E78+E79-Assumptions!$H$65)),1000),0)</f>
        <v>0</v>
      </c>
      <c r="F80" s="15">
        <f>IF(Drivers!F29*(F56&lt;0.005),-FLOOR(MIN(Assumptions!$H$64*MAX(0,F119),MAX(0,F110+F78+F79-Assumptions!$H$65)),1000),0)</f>
        <v>-511000</v>
      </c>
      <c r="G80" s="15">
        <f>IF(Drivers!G29*(G56&lt;0.005),-FLOOR(MIN(Assumptions!$H$64*MAX(0,G119),MAX(0,G110+G78+G79-Assumptions!$H$65)),1000),0)</f>
        <v>0</v>
      </c>
      <c r="H80" s="15">
        <f>IF(Drivers!H29*(H56&lt;0.005),-FLOOR(MIN(Assumptions!$H$64*MAX(0,H119),MAX(0,H110+H78+H79-Assumptions!$H$65)),1000),0)</f>
        <v>0</v>
      </c>
      <c r="I80" s="15">
        <f>IF(Drivers!I29*(I56&lt;0.005),-FLOOR(MIN(Assumptions!$H$64*MAX(0,I119),MAX(0,I110+I78+I79-Assumptions!$H$65)),1000),0)</f>
        <v>0</v>
      </c>
      <c r="J80" s="15">
        <f>IF(Drivers!J29*(J56&lt;0.005),-FLOOR(MIN(Assumptions!$H$64*MAX(0,J119),MAX(0,J110+J78+J79-Assumptions!$H$65)),1000),0)</f>
        <v>0</v>
      </c>
      <c r="K80" s="15">
        <f>IF(Drivers!K29*(K56&lt;0.005),-FLOOR(MIN(Assumptions!$H$64*MAX(0,K119),MAX(0,K110+K78+K79-Assumptions!$H$65)),1000),0)</f>
        <v>0</v>
      </c>
      <c r="L80" s="15">
        <f>IF(Drivers!L29*(L56&lt;0.005),-FLOOR(MIN(Assumptions!$H$64*MAX(0,L119),MAX(0,L110+L78+L79-Assumptions!$H$65)),1000),0)</f>
        <v>0</v>
      </c>
      <c r="M80" s="15">
        <f>IF(Drivers!M29*(M56&lt;0.005),-FLOOR(MIN(Assumptions!$H$64*MAX(0,M119),MAX(0,M110+M78+M79-Assumptions!$H$65)),1000),0)</f>
        <v>0</v>
      </c>
      <c r="N80" s="15">
        <f>IF(Drivers!N29*(N56&lt;0.005),-FLOOR(MIN(Assumptions!$H$64*MAX(0,N119),MAX(0,N110+N78+N79-Assumptions!$H$65)),1000),0)</f>
        <v>0</v>
      </c>
      <c r="O80" s="15">
        <f>IF(Drivers!O29*(O56&lt;0.005),-FLOOR(MIN(Assumptions!$H$64*MAX(0,O119),MAX(0,O110+O78+O79-Assumptions!$H$65)),1000),0)</f>
        <v>0</v>
      </c>
      <c r="P80" s="15">
        <f t="shared" si="26"/>
        <v>-511000</v>
      </c>
    </row>
    <row r="81" spans="1:16" x14ac:dyDescent="0.2">
      <c r="A81" s="16" t="s">
        <v>358</v>
      </c>
      <c r="B81" s="16" t="s">
        <v>359</v>
      </c>
      <c r="C81" s="16"/>
      <c r="D81" s="17">
        <f t="shared" ref="D81:O81" si="34">D77+D78+D79+D80</f>
        <v>-16250</v>
      </c>
      <c r="E81" s="17">
        <f t="shared" si="34"/>
        <v>-16250</v>
      </c>
      <c r="F81" s="17">
        <f t="shared" si="34"/>
        <v>-527250</v>
      </c>
      <c r="G81" s="17">
        <f t="shared" si="34"/>
        <v>-16250</v>
      </c>
      <c r="H81" s="17">
        <f t="shared" si="34"/>
        <v>-16250</v>
      </c>
      <c r="I81" s="17">
        <f t="shared" si="34"/>
        <v>-16250</v>
      </c>
      <c r="J81" s="17">
        <f t="shared" si="34"/>
        <v>-16250</v>
      </c>
      <c r="K81" s="17">
        <f t="shared" si="34"/>
        <v>-16250</v>
      </c>
      <c r="L81" s="17">
        <f t="shared" si="34"/>
        <v>-16250</v>
      </c>
      <c r="M81" s="17">
        <f t="shared" si="34"/>
        <v>-16250</v>
      </c>
      <c r="N81" s="17">
        <f t="shared" si="34"/>
        <v>-16250</v>
      </c>
      <c r="O81" s="17">
        <f t="shared" si="34"/>
        <v>-16250</v>
      </c>
      <c r="P81" s="17">
        <f t="shared" si="26"/>
        <v>-706000</v>
      </c>
    </row>
    <row r="82" spans="1:16" x14ac:dyDescent="0.2">
      <c r="A82" s="16" t="s">
        <v>360</v>
      </c>
      <c r="B82" s="16" t="s">
        <v>361</v>
      </c>
      <c r="C82" s="16"/>
      <c r="D82" s="17">
        <f t="shared" ref="D82:O82" si="35">D75+D76+D81</f>
        <v>345809.94573158526</v>
      </c>
      <c r="E82" s="17">
        <f t="shared" si="35"/>
        <v>309122.74610392505</v>
      </c>
      <c r="F82" s="17">
        <f t="shared" si="35"/>
        <v>-286695.5596727911</v>
      </c>
      <c r="G82" s="17">
        <f t="shared" si="35"/>
        <v>-64828.19915605514</v>
      </c>
      <c r="H82" s="17">
        <f t="shared" si="35"/>
        <v>115616.09859048261</v>
      </c>
      <c r="I82" s="17">
        <f t="shared" si="35"/>
        <v>-272618.55931704881</v>
      </c>
      <c r="J82" s="17">
        <f t="shared" si="35"/>
        <v>71807.586479982419</v>
      </c>
      <c r="K82" s="17">
        <f t="shared" si="35"/>
        <v>151687.88474074478</v>
      </c>
      <c r="L82" s="17">
        <f t="shared" si="35"/>
        <v>153739.91344510077</v>
      </c>
      <c r="M82" s="17">
        <f t="shared" si="35"/>
        <v>33623.116730243433</v>
      </c>
      <c r="N82" s="17">
        <f t="shared" si="35"/>
        <v>136185.36133907462</v>
      </c>
      <c r="O82" s="17">
        <f t="shared" si="35"/>
        <v>76737.965951317616</v>
      </c>
      <c r="P82" s="17">
        <f t="shared" si="26"/>
        <v>770188.30096656142</v>
      </c>
    </row>
    <row r="84" spans="1:16" x14ac:dyDescent="0.2">
      <c r="A84" s="14" t="s">
        <v>362</v>
      </c>
    </row>
    <row r="85" spans="1:16" x14ac:dyDescent="0.2">
      <c r="A85" s="16" t="s">
        <v>363</v>
      </c>
      <c r="B85" s="16" t="s">
        <v>364</v>
      </c>
      <c r="C85" s="17">
        <f>Hist_BS!$AI$33</f>
        <v>0</v>
      </c>
      <c r="D85" s="17">
        <f t="shared" ref="D85:O85" si="36">D51-D65</f>
        <v>0</v>
      </c>
      <c r="E85" s="17">
        <f t="shared" si="36"/>
        <v>0</v>
      </c>
      <c r="F85" s="17">
        <f t="shared" si="36"/>
        <v>0</v>
      </c>
      <c r="G85" s="17">
        <f t="shared" si="36"/>
        <v>0</v>
      </c>
      <c r="H85" s="17">
        <f t="shared" si="36"/>
        <v>0</v>
      </c>
      <c r="I85" s="17">
        <f t="shared" si="36"/>
        <v>0</v>
      </c>
      <c r="J85" s="17">
        <f t="shared" si="36"/>
        <v>0</v>
      </c>
      <c r="K85" s="17">
        <f t="shared" si="36"/>
        <v>0</v>
      </c>
      <c r="L85" s="17">
        <f t="shared" si="36"/>
        <v>0</v>
      </c>
      <c r="M85" s="17">
        <f t="shared" si="36"/>
        <v>0</v>
      </c>
      <c r="N85" s="17">
        <f t="shared" si="36"/>
        <v>0</v>
      </c>
      <c r="O85" s="17">
        <f t="shared" si="36"/>
        <v>0</v>
      </c>
      <c r="P85" s="16"/>
    </row>
    <row r="86" spans="1:16" x14ac:dyDescent="0.2">
      <c r="A86" s="16" t="s">
        <v>365</v>
      </c>
      <c r="B86" s="16" t="s">
        <v>366</v>
      </c>
      <c r="C86" s="16"/>
      <c r="D86" s="17">
        <f t="shared" ref="D86:O86" si="37">D39-C39-D82</f>
        <v>0</v>
      </c>
      <c r="E86" s="17">
        <f t="shared" si="37"/>
        <v>0</v>
      </c>
      <c r="F86" s="17">
        <f t="shared" si="37"/>
        <v>0</v>
      </c>
      <c r="G86" s="17">
        <f t="shared" si="37"/>
        <v>-8.7311491370201111E-11</v>
      </c>
      <c r="H86" s="17">
        <f t="shared" si="37"/>
        <v>-1.1641532182693481E-10</v>
      </c>
      <c r="I86" s="17">
        <f t="shared" si="37"/>
        <v>0</v>
      </c>
      <c r="J86" s="17">
        <f t="shared" si="37"/>
        <v>0</v>
      </c>
      <c r="K86" s="17">
        <f t="shared" si="37"/>
        <v>0</v>
      </c>
      <c r="L86" s="17">
        <f t="shared" si="37"/>
        <v>0</v>
      </c>
      <c r="M86" s="17">
        <f t="shared" si="37"/>
        <v>0</v>
      </c>
      <c r="N86" s="17">
        <f t="shared" si="37"/>
        <v>0</v>
      </c>
      <c r="O86" s="17">
        <f t="shared" si="37"/>
        <v>-1.6007106751203537E-10</v>
      </c>
      <c r="P86" s="16"/>
    </row>
    <row r="88" spans="1:16" x14ac:dyDescent="0.2">
      <c r="A88" s="14" t="s">
        <v>367</v>
      </c>
    </row>
    <row r="89" spans="1:16" x14ac:dyDescent="0.2">
      <c r="A89" s="8" t="s">
        <v>368</v>
      </c>
      <c r="B89" t="s">
        <v>369</v>
      </c>
      <c r="D89" s="15">
        <f>Drivers!D6*(1+Assumptions!$H$11)</f>
        <v>2285.6</v>
      </c>
      <c r="E89" s="15">
        <f>Drivers!E6*(1+Assumptions!$H$11)</f>
        <v>2714</v>
      </c>
      <c r="F89" s="15">
        <f>Drivers!F6*(1+Assumptions!$H$11)</f>
        <v>2288.9</v>
      </c>
      <c r="G89" s="15">
        <f>Drivers!G6*(1+Assumptions!$H$11)</f>
        <v>2199.1999999999998</v>
      </c>
      <c r="H89" s="15">
        <f>Drivers!H6*(1+Assumptions!$H$11)</f>
        <v>2254.1</v>
      </c>
      <c r="I89" s="15">
        <f>Drivers!I6*(1+Assumptions!$H$11)</f>
        <v>2082</v>
      </c>
      <c r="J89" s="15">
        <f>Drivers!J6*(1+Assumptions!$H$11)</f>
        <v>2057.9</v>
      </c>
      <c r="K89" s="15">
        <f>Drivers!K6*(1+Assumptions!$H$11)</f>
        <v>1678.7</v>
      </c>
      <c r="L89" s="15">
        <f>Drivers!L6*(1+Assumptions!$H$11)</f>
        <v>2059.1999999999998</v>
      </c>
      <c r="M89" s="15">
        <f>Drivers!M6*(1+Assumptions!$H$11)</f>
        <v>1983.4</v>
      </c>
      <c r="N89" s="15">
        <f>Drivers!N6*(1+Assumptions!$H$11)</f>
        <v>2130.1</v>
      </c>
      <c r="O89" s="15">
        <f>Drivers!O6*(1+Assumptions!$H$11)</f>
        <v>1718</v>
      </c>
      <c r="P89" s="15">
        <f>SUM(D89:O89)</f>
        <v>25451.100000000002</v>
      </c>
    </row>
    <row r="90" spans="1:16" x14ac:dyDescent="0.2">
      <c r="A90" s="8" t="s">
        <v>370</v>
      </c>
      <c r="B90" t="s">
        <v>371</v>
      </c>
      <c r="D90" s="15">
        <f>Drivers!D8*(1+Assumptions!$H$8)+Assumptions!$H$14*Drivers!D26*Assumptions!$H$42*(1+Assumptions!$H$8)</f>
        <v>2713.7914873291388</v>
      </c>
      <c r="E90" s="15">
        <f>Drivers!E8*(1+Assumptions!$H$8)+Assumptions!$H$14*Drivers!E26*Assumptions!$H$42*(1+Assumptions!$H$8)</f>
        <v>2648.6804192310219</v>
      </c>
      <c r="F90" s="15">
        <f>Drivers!F8*(1+Assumptions!$H$8)+Assumptions!$H$14*Drivers!F26*Assumptions!$H$42*(1+Assumptions!$H$8)</f>
        <v>2372.2777777933902</v>
      </c>
      <c r="G90" s="15">
        <f>Drivers!G8*(1+Assumptions!$H$8)+Assumptions!$H$14*Drivers!G26*Assumptions!$H$42*(1+Assumptions!$H$8)</f>
        <v>2621.727839570648</v>
      </c>
      <c r="H90" s="15">
        <f>Drivers!H8*(1+Assumptions!$H$8)+Assumptions!$H$14*Drivers!H26*Assumptions!$H$42*(1+Assumptions!$H$8)</f>
        <v>2478.8523344104342</v>
      </c>
      <c r="I90" s="15">
        <f>Drivers!I8*(1+Assumptions!$H$8)+Assumptions!$H$14*Drivers!I26*Assumptions!$H$42*(1+Assumptions!$H$8)</f>
        <v>2836.512635137869</v>
      </c>
      <c r="J90" s="15">
        <f>Drivers!J8*(1+Assumptions!$H$8)+Assumptions!$H$14*Drivers!J26*Assumptions!$H$42*(1+Assumptions!$H$8)</f>
        <v>2912.5300070304438</v>
      </c>
      <c r="K90" s="15">
        <f>Drivers!K8*(1+Assumptions!$H$8)+Assumptions!$H$14*Drivers!K26*Assumptions!$H$42*(1+Assumptions!$H$8)</f>
        <v>2601.666424340101</v>
      </c>
      <c r="L90" s="15">
        <f>Drivers!L8*(1+Assumptions!$H$8)+Assumptions!$H$14*Drivers!L26*Assumptions!$H$42*(1+Assumptions!$H$8)</f>
        <v>2836.8109838168398</v>
      </c>
      <c r="M90" s="15">
        <f>Drivers!M8*(1+Assumptions!$H$8)+Assumptions!$H$14*Drivers!M26*Assumptions!$H$42*(1+Assumptions!$H$8)</f>
        <v>2289.0522541806022</v>
      </c>
      <c r="N90" s="15">
        <f>Drivers!N8*(1+Assumptions!$H$8)+Assumptions!$H$14*Drivers!N26*Assumptions!$H$42*(1+Assumptions!$H$8)</f>
        <v>2475.4211619418911</v>
      </c>
      <c r="O90" s="15">
        <f>Drivers!O8*(1+Assumptions!$H$8)+Assumptions!$H$14*Drivers!O26*Assumptions!$H$42*(1+Assumptions!$H$8)</f>
        <v>2756.634216055515</v>
      </c>
    </row>
    <row r="91" spans="1:16" x14ac:dyDescent="0.2">
      <c r="A91" s="8" t="s">
        <v>372</v>
      </c>
      <c r="B91" t="s">
        <v>373</v>
      </c>
      <c r="D91" s="15">
        <f>Assumptions!$H$40*Drivers!D8</f>
        <v>271.3791487329139</v>
      </c>
      <c r="E91" s="15">
        <f>Assumptions!$H$40*Drivers!E8</f>
        <v>264.86804192310223</v>
      </c>
      <c r="F91" s="15">
        <f>Assumptions!$H$40*Drivers!F8</f>
        <v>237.22777777933902</v>
      </c>
      <c r="G91" s="15">
        <f>Assumptions!$H$40*Drivers!G8</f>
        <v>262.17278395706484</v>
      </c>
      <c r="H91" s="15">
        <f>Assumptions!$H$40*Drivers!H8</f>
        <v>247.88523344104343</v>
      </c>
      <c r="I91" s="15">
        <f>Assumptions!$H$40*Drivers!I8</f>
        <v>283.65126351378689</v>
      </c>
      <c r="J91" s="15">
        <f>Assumptions!$H$40*Drivers!J8</f>
        <v>291.25300070304439</v>
      </c>
      <c r="K91" s="15">
        <f>Assumptions!$H$40*Drivers!K8</f>
        <v>260.1666424340101</v>
      </c>
      <c r="L91" s="15">
        <f>Assumptions!$H$40*Drivers!L8</f>
        <v>283.68109838168397</v>
      </c>
      <c r="M91" s="15">
        <f>Assumptions!$H$40*Drivers!M8</f>
        <v>228.90522541806024</v>
      </c>
      <c r="N91" s="15">
        <f>Assumptions!$H$40*Drivers!N8</f>
        <v>247.54211619418913</v>
      </c>
      <c r="O91" s="15">
        <f>Assumptions!$H$40*Drivers!O8</f>
        <v>275.66342160555149</v>
      </c>
    </row>
    <row r="92" spans="1:16" x14ac:dyDescent="0.2">
      <c r="A92" s="8" t="s">
        <v>374</v>
      </c>
      <c r="B92" t="s">
        <v>375</v>
      </c>
      <c r="D92" s="15">
        <f>C95*(1-Assumptions!$H$41*(1+Assumptions!$H$10))</f>
        <v>1163.8118985611436</v>
      </c>
      <c r="E92" s="15">
        <f>D95*(1-Assumptions!$H$41*(1+Assumptions!$H$10))</f>
        <v>394.60507312422709</v>
      </c>
      <c r="F92" s="15">
        <f>E95*(1-Assumptions!$H$41*(1+Assumptions!$H$10))</f>
        <v>165.7981201745875</v>
      </c>
      <c r="G92" s="15">
        <f>F95*(1-Assumptions!$H$41*(1+Assumptions!$H$10))</f>
        <v>0</v>
      </c>
      <c r="H92" s="15">
        <f>G95*(1-Assumptions!$H$41*(1+Assumptions!$H$10))</f>
        <v>0</v>
      </c>
      <c r="I92" s="15">
        <f>H95*(1-Assumptions!$H$41*(1+Assumptions!$H$10))</f>
        <v>0</v>
      </c>
      <c r="J92" s="15">
        <f>I95*(1-Assumptions!$H$41*(1+Assumptions!$H$10))</f>
        <v>0</v>
      </c>
      <c r="K92" s="15">
        <f>J95*(1-Assumptions!$H$41*(1+Assumptions!$H$10))</f>
        <v>0</v>
      </c>
      <c r="L92" s="15">
        <f>K95*(1-Assumptions!$H$41*(1+Assumptions!$H$10))</f>
        <v>0</v>
      </c>
      <c r="M92" s="15">
        <f>L95*(1-Assumptions!$H$41*(1+Assumptions!$H$10))</f>
        <v>0</v>
      </c>
      <c r="N92" s="15">
        <f>M95*(1-Assumptions!$H$41*(1+Assumptions!$H$10))</f>
        <v>0</v>
      </c>
      <c r="O92" s="15">
        <f>N95*(1-Assumptions!$H$41*(1+Assumptions!$H$10))</f>
        <v>0</v>
      </c>
    </row>
    <row r="93" spans="1:16" x14ac:dyDescent="0.2">
      <c r="A93" s="16" t="s">
        <v>376</v>
      </c>
      <c r="B93" s="16" t="s">
        <v>377</v>
      </c>
      <c r="C93" s="16"/>
      <c r="D93" s="17">
        <f t="shared" ref="D93:O93" si="38">MIN(D89+D92,D90+D91)</f>
        <v>2985.1706360620528</v>
      </c>
      <c r="E93" s="17">
        <f t="shared" si="38"/>
        <v>2913.5484611541242</v>
      </c>
      <c r="F93" s="17">
        <f t="shared" si="38"/>
        <v>2454.6981201745875</v>
      </c>
      <c r="G93" s="17">
        <f t="shared" si="38"/>
        <v>2199.1999999999998</v>
      </c>
      <c r="H93" s="17">
        <f t="shared" si="38"/>
        <v>2254.1</v>
      </c>
      <c r="I93" s="17">
        <f t="shared" si="38"/>
        <v>2082</v>
      </c>
      <c r="J93" s="17">
        <f t="shared" si="38"/>
        <v>2057.9</v>
      </c>
      <c r="K93" s="17">
        <f t="shared" si="38"/>
        <v>1678.7</v>
      </c>
      <c r="L93" s="17">
        <f t="shared" si="38"/>
        <v>2059.1999999999998</v>
      </c>
      <c r="M93" s="17">
        <f t="shared" si="38"/>
        <v>1983.4</v>
      </c>
      <c r="N93" s="17">
        <f t="shared" si="38"/>
        <v>2130.1</v>
      </c>
      <c r="O93" s="17">
        <f t="shared" si="38"/>
        <v>1718</v>
      </c>
      <c r="P93" s="17">
        <f>SUM(D93:O93)</f>
        <v>26516.017217390767</v>
      </c>
    </row>
    <row r="94" spans="1:16" x14ac:dyDescent="0.2">
      <c r="A94" s="8" t="s">
        <v>378</v>
      </c>
      <c r="B94" t="s">
        <v>379</v>
      </c>
      <c r="D94" s="15">
        <f t="shared" ref="D94:O94" si="39">MAX(0,D93-D90)</f>
        <v>271.37914873291402</v>
      </c>
      <c r="E94" s="15">
        <f t="shared" si="39"/>
        <v>264.86804192310228</v>
      </c>
      <c r="F94" s="15">
        <f t="shared" si="39"/>
        <v>82.420342381197315</v>
      </c>
      <c r="G94" s="15">
        <f t="shared" si="39"/>
        <v>0</v>
      </c>
      <c r="H94" s="15">
        <f t="shared" si="39"/>
        <v>0</v>
      </c>
      <c r="I94" s="15">
        <f t="shared" si="39"/>
        <v>0</v>
      </c>
      <c r="J94" s="15">
        <f t="shared" si="39"/>
        <v>0</v>
      </c>
      <c r="K94" s="15">
        <f t="shared" si="39"/>
        <v>0</v>
      </c>
      <c r="L94" s="15">
        <f t="shared" si="39"/>
        <v>0</v>
      </c>
      <c r="M94" s="15">
        <f t="shared" si="39"/>
        <v>0</v>
      </c>
      <c r="N94" s="15">
        <f t="shared" si="39"/>
        <v>0</v>
      </c>
      <c r="O94" s="15">
        <f t="shared" si="39"/>
        <v>0</v>
      </c>
      <c r="P94" s="15">
        <f>SUM(D94:O94)</f>
        <v>618.66753303721362</v>
      </c>
    </row>
    <row r="95" spans="1:16" x14ac:dyDescent="0.2">
      <c r="A95" s="8" t="s">
        <v>380</v>
      </c>
      <c r="B95" t="s">
        <v>381</v>
      </c>
      <c r="C95" s="11">
        <v>1369.190468895463</v>
      </c>
      <c r="D95" s="15">
        <f t="shared" ref="D95:O95" si="40">D89+D92-D93</f>
        <v>464.24126249909068</v>
      </c>
      <c r="E95" s="15">
        <f t="shared" si="40"/>
        <v>195.05661197010295</v>
      </c>
      <c r="F95" s="15">
        <f t="shared" si="40"/>
        <v>0</v>
      </c>
      <c r="G95" s="15">
        <f t="shared" si="40"/>
        <v>0</v>
      </c>
      <c r="H95" s="15">
        <f t="shared" si="40"/>
        <v>0</v>
      </c>
      <c r="I95" s="15">
        <f t="shared" si="40"/>
        <v>0</v>
      </c>
      <c r="J95" s="15">
        <f t="shared" si="40"/>
        <v>0</v>
      </c>
      <c r="K95" s="15">
        <f t="shared" si="40"/>
        <v>0</v>
      </c>
      <c r="L95" s="15">
        <f t="shared" si="40"/>
        <v>0</v>
      </c>
      <c r="M95" s="15">
        <f t="shared" si="40"/>
        <v>0</v>
      </c>
      <c r="N95" s="15">
        <f t="shared" si="40"/>
        <v>0</v>
      </c>
      <c r="O95" s="15">
        <f t="shared" si="40"/>
        <v>0</v>
      </c>
    </row>
    <row r="96" spans="1:16" x14ac:dyDescent="0.2">
      <c r="A96" s="8" t="s">
        <v>382</v>
      </c>
      <c r="B96" t="s">
        <v>383</v>
      </c>
      <c r="D96" s="15">
        <f>Drivers!D7*(1+Assumptions!$H$11)</f>
        <v>1278.0768488332519</v>
      </c>
      <c r="E96" s="15">
        <f>Drivers!E7*(1+Assumptions!$H$11)</f>
        <v>1093.501401208086</v>
      </c>
      <c r="F96" s="15">
        <f>Drivers!F7*(1+Assumptions!$H$11)</f>
        <v>640.81541550250222</v>
      </c>
      <c r="G96" s="15">
        <f>Drivers!G7*(1+Assumptions!$H$11)</f>
        <v>770.30167493179613</v>
      </c>
      <c r="H96" s="15">
        <f>Drivers!H7*(1+Assumptions!$H$11)</f>
        <v>759.74213445609951</v>
      </c>
      <c r="I96" s="15">
        <f>Drivers!I7*(1+Assumptions!$H$11)</f>
        <v>719.22129044131566</v>
      </c>
      <c r="J96" s="15">
        <f>Drivers!J7*(1+Assumptions!$H$11)</f>
        <v>955.68459869606761</v>
      </c>
      <c r="K96" s="15">
        <f>Drivers!K7*(1+Assumptions!$H$11)</f>
        <v>1092.522867600095</v>
      </c>
      <c r="L96" s="15">
        <f>Drivers!L7*(1+Assumptions!$H$11)</f>
        <v>780.84288688571382</v>
      </c>
      <c r="M96" s="15">
        <f>Drivers!M7*(1+Assumptions!$H$11)</f>
        <v>700.79849349659298</v>
      </c>
      <c r="N96" s="15">
        <f>Drivers!N7*(1+Assumptions!$H$11)</f>
        <v>700.32617599073069</v>
      </c>
      <c r="O96" s="15">
        <f>Drivers!O7*(1+Assumptions!$H$11)</f>
        <v>733.43261043236782</v>
      </c>
      <c r="P96" s="15">
        <f>SUM(D96:O96)</f>
        <v>10225.26639847462</v>
      </c>
    </row>
    <row r="97" spans="1:16" x14ac:dyDescent="0.2">
      <c r="A97" s="8" t="s">
        <v>384</v>
      </c>
      <c r="B97" t="s">
        <v>385</v>
      </c>
      <c r="D97" s="15">
        <f>Drivers!D9*(1+Assumptions!$H$8)</f>
        <v>1408.5735847275821</v>
      </c>
      <c r="E97" s="15">
        <f>Drivers!E9*(1+Assumptions!$H$8)</f>
        <v>1361.8047824826419</v>
      </c>
      <c r="F97" s="15">
        <f>Drivers!F9*(1+Assumptions!$H$8)</f>
        <v>1260.760468369718</v>
      </c>
      <c r="G97" s="15">
        <f>Drivers!G9*(1+Assumptions!$H$8)</f>
        <v>1366.244686447631</v>
      </c>
      <c r="H97" s="15">
        <f>Drivers!H9*(1+Assumptions!$H$8)</f>
        <v>1300.840711385594</v>
      </c>
      <c r="I97" s="15">
        <f>Drivers!I9*(1+Assumptions!$H$8)</f>
        <v>1467.762181793436</v>
      </c>
      <c r="J97" s="15">
        <f>Drivers!J9*(1+Assumptions!$H$8)</f>
        <v>1511.039119096132</v>
      </c>
      <c r="K97" s="15">
        <f>Drivers!K9*(1+Assumptions!$H$8)</f>
        <v>1343.1410401648141</v>
      </c>
      <c r="L97" s="15">
        <f>Drivers!L9*(1+Assumptions!$H$8)</f>
        <v>1472.8828958341071</v>
      </c>
      <c r="M97" s="15">
        <f>Drivers!M9*(1+Assumptions!$H$8)</f>
        <v>1129.4397758977329</v>
      </c>
      <c r="N97" s="15">
        <f>Drivers!N9*(1+Assumptions!$H$8)</f>
        <v>1315.995743736913</v>
      </c>
      <c r="O97" s="15">
        <f>Drivers!O9*(1+Assumptions!$H$8)</f>
        <v>1429.8813544946181</v>
      </c>
    </row>
    <row r="98" spans="1:16" x14ac:dyDescent="0.2">
      <c r="A98" s="8" t="s">
        <v>386</v>
      </c>
      <c r="B98" t="s">
        <v>387</v>
      </c>
      <c r="D98" s="15">
        <f>Assumptions!$H$40*Drivers!D9</f>
        <v>140.85735847275822</v>
      </c>
      <c r="E98" s="15">
        <f>Assumptions!$H$40*Drivers!E9</f>
        <v>136.18047824826419</v>
      </c>
      <c r="F98" s="15">
        <f>Assumptions!$H$40*Drivers!F9</f>
        <v>126.0760468369718</v>
      </c>
      <c r="G98" s="15">
        <f>Assumptions!$H$40*Drivers!G9</f>
        <v>136.62446864476311</v>
      </c>
      <c r="H98" s="15">
        <f>Assumptions!$H$40*Drivers!H9</f>
        <v>130.08407113855941</v>
      </c>
      <c r="I98" s="15">
        <f>Assumptions!$H$40*Drivers!I9</f>
        <v>146.7762181793436</v>
      </c>
      <c r="J98" s="15">
        <f>Assumptions!$H$40*Drivers!J9</f>
        <v>151.1039119096132</v>
      </c>
      <c r="K98" s="15">
        <f>Assumptions!$H$40*Drivers!K9</f>
        <v>134.31410401648142</v>
      </c>
      <c r="L98" s="15">
        <f>Assumptions!$H$40*Drivers!L9</f>
        <v>147.28828958341072</v>
      </c>
      <c r="M98" s="15">
        <f>Assumptions!$H$40*Drivers!M9</f>
        <v>112.9439775897733</v>
      </c>
      <c r="N98" s="15">
        <f>Assumptions!$H$40*Drivers!N9</f>
        <v>131.5995743736913</v>
      </c>
      <c r="O98" s="15">
        <f>Assumptions!$H$40*Drivers!O9</f>
        <v>142.98813544946182</v>
      </c>
    </row>
    <row r="99" spans="1:16" x14ac:dyDescent="0.2">
      <c r="A99" s="8" t="s">
        <v>388</v>
      </c>
      <c r="B99" t="s">
        <v>389</v>
      </c>
      <c r="D99" s="15">
        <f>C102*(1-Assumptions!$H$41*(1+Assumptions!$H$10))</f>
        <v>95.396212564471128</v>
      </c>
      <c r="E99" s="15">
        <f>D102*(1-Assumptions!$H$41*(1+Assumptions!$H$10))</f>
        <v>0</v>
      </c>
      <c r="F99" s="15">
        <f>E102*(1-Assumptions!$H$41*(1+Assumptions!$H$10))</f>
        <v>0</v>
      </c>
      <c r="G99" s="15">
        <f>F102*(1-Assumptions!$H$41*(1+Assumptions!$H$10))</f>
        <v>0</v>
      </c>
      <c r="H99" s="15">
        <f>G102*(1-Assumptions!$H$41*(1+Assumptions!$H$10))</f>
        <v>0</v>
      </c>
      <c r="I99" s="15">
        <f>H102*(1-Assumptions!$H$41*(1+Assumptions!$H$10))</f>
        <v>0</v>
      </c>
      <c r="J99" s="15">
        <f>I102*(1-Assumptions!$H$41*(1+Assumptions!$H$10))</f>
        <v>0</v>
      </c>
      <c r="K99" s="15">
        <f>J102*(1-Assumptions!$H$41*(1+Assumptions!$H$10))</f>
        <v>0</v>
      </c>
      <c r="L99" s="15">
        <f>K102*(1-Assumptions!$H$41*(1+Assumptions!$H$10))</f>
        <v>0</v>
      </c>
      <c r="M99" s="15">
        <f>L102*(1-Assumptions!$H$41*(1+Assumptions!$H$10))</f>
        <v>0</v>
      </c>
      <c r="N99" s="15">
        <f>M102*(1-Assumptions!$H$41*(1+Assumptions!$H$10))</f>
        <v>0</v>
      </c>
      <c r="O99" s="15">
        <f>N102*(1-Assumptions!$H$41*(1+Assumptions!$H$10))</f>
        <v>0</v>
      </c>
    </row>
    <row r="100" spans="1:16" x14ac:dyDescent="0.2">
      <c r="A100" s="16" t="s">
        <v>390</v>
      </c>
      <c r="B100" s="16" t="s">
        <v>391</v>
      </c>
      <c r="C100" s="16"/>
      <c r="D100" s="17">
        <f t="shared" ref="D100:O100" si="41">MIN(D96+D99,D97+D98)</f>
        <v>1373.4730613977231</v>
      </c>
      <c r="E100" s="17">
        <f t="shared" si="41"/>
        <v>1093.501401208086</v>
      </c>
      <c r="F100" s="17">
        <f t="shared" si="41"/>
        <v>640.81541550250222</v>
      </c>
      <c r="G100" s="17">
        <f t="shared" si="41"/>
        <v>770.30167493179613</v>
      </c>
      <c r="H100" s="17">
        <f t="shared" si="41"/>
        <v>759.74213445609951</v>
      </c>
      <c r="I100" s="17">
        <f t="shared" si="41"/>
        <v>719.22129044131566</v>
      </c>
      <c r="J100" s="17">
        <f t="shared" si="41"/>
        <v>955.68459869606761</v>
      </c>
      <c r="K100" s="17">
        <f t="shared" si="41"/>
        <v>1092.522867600095</v>
      </c>
      <c r="L100" s="17">
        <f t="shared" si="41"/>
        <v>780.84288688571382</v>
      </c>
      <c r="M100" s="17">
        <f t="shared" si="41"/>
        <v>700.79849349659298</v>
      </c>
      <c r="N100" s="17">
        <f t="shared" si="41"/>
        <v>700.32617599073069</v>
      </c>
      <c r="O100" s="17">
        <f t="shared" si="41"/>
        <v>733.43261043236782</v>
      </c>
      <c r="P100" s="17">
        <f>SUM(D100:O100)</f>
        <v>10320.662611039092</v>
      </c>
    </row>
    <row r="101" spans="1:16" x14ac:dyDescent="0.2">
      <c r="A101" s="8" t="s">
        <v>392</v>
      </c>
      <c r="B101" t="s">
        <v>393</v>
      </c>
      <c r="D101" s="15">
        <f t="shared" ref="D101:O101" si="42">MAX(0,D100-D97)</f>
        <v>0</v>
      </c>
      <c r="E101" s="15">
        <f t="shared" si="42"/>
        <v>0</v>
      </c>
      <c r="F101" s="15">
        <f t="shared" si="42"/>
        <v>0</v>
      </c>
      <c r="G101" s="15">
        <f t="shared" si="42"/>
        <v>0</v>
      </c>
      <c r="H101" s="15">
        <f t="shared" si="42"/>
        <v>0</v>
      </c>
      <c r="I101" s="15">
        <f t="shared" si="42"/>
        <v>0</v>
      </c>
      <c r="J101" s="15">
        <f t="shared" si="42"/>
        <v>0</v>
      </c>
      <c r="K101" s="15">
        <f t="shared" si="42"/>
        <v>0</v>
      </c>
      <c r="L101" s="15">
        <f t="shared" si="42"/>
        <v>0</v>
      </c>
      <c r="M101" s="15">
        <f t="shared" si="42"/>
        <v>0</v>
      </c>
      <c r="N101" s="15">
        <f t="shared" si="42"/>
        <v>0</v>
      </c>
      <c r="O101" s="15">
        <f t="shared" si="42"/>
        <v>0</v>
      </c>
      <c r="P101" s="15">
        <f>SUM(D101:O101)</f>
        <v>0</v>
      </c>
    </row>
    <row r="102" spans="1:16" x14ac:dyDescent="0.2">
      <c r="A102" s="8" t="s">
        <v>394</v>
      </c>
      <c r="B102" t="s">
        <v>395</v>
      </c>
      <c r="C102" s="11">
        <v>112.23083831114251</v>
      </c>
      <c r="D102" s="15">
        <f t="shared" ref="D102:O102" si="43">D96+D99-D100</f>
        <v>0</v>
      </c>
      <c r="E102" s="15">
        <f t="shared" si="43"/>
        <v>0</v>
      </c>
      <c r="F102" s="15">
        <f t="shared" si="43"/>
        <v>0</v>
      </c>
      <c r="G102" s="15">
        <f t="shared" si="43"/>
        <v>0</v>
      </c>
      <c r="H102" s="15">
        <f t="shared" si="43"/>
        <v>0</v>
      </c>
      <c r="I102" s="15">
        <f t="shared" si="43"/>
        <v>0</v>
      </c>
      <c r="J102" s="15">
        <f t="shared" si="43"/>
        <v>0</v>
      </c>
      <c r="K102" s="15">
        <f t="shared" si="43"/>
        <v>0</v>
      </c>
      <c r="L102" s="15">
        <f t="shared" si="43"/>
        <v>0</v>
      </c>
      <c r="M102" s="15">
        <f t="shared" si="43"/>
        <v>0</v>
      </c>
      <c r="N102" s="15">
        <f t="shared" si="43"/>
        <v>0</v>
      </c>
      <c r="O102" s="15">
        <f t="shared" si="43"/>
        <v>0</v>
      </c>
    </row>
    <row r="104" spans="1:16" x14ac:dyDescent="0.2">
      <c r="A104" s="14" t="s">
        <v>396</v>
      </c>
    </row>
    <row r="105" spans="1:16" x14ac:dyDescent="0.2">
      <c r="A105" s="8" t="s">
        <v>397</v>
      </c>
      <c r="B105" t="s">
        <v>398</v>
      </c>
      <c r="D105" s="15">
        <f t="shared" ref="D105:O105" si="44">-D17-D18-D20+D42-C42+D43-C43</f>
        <v>750798.6420403925</v>
      </c>
      <c r="E105" s="15">
        <f t="shared" si="44"/>
        <v>592027.94898313424</v>
      </c>
      <c r="F105" s="15">
        <f t="shared" si="44"/>
        <v>429797.33580614929</v>
      </c>
      <c r="G105" s="15">
        <f t="shared" si="44"/>
        <v>459360.50945668807</v>
      </c>
      <c r="H105" s="15">
        <f t="shared" si="44"/>
        <v>463355.32341976417</v>
      </c>
      <c r="I105" s="15">
        <f t="shared" si="44"/>
        <v>444612.57504795078</v>
      </c>
      <c r="J105" s="15">
        <f t="shared" si="44"/>
        <v>496360.13044902182</v>
      </c>
      <c r="K105" s="15">
        <f t="shared" si="44"/>
        <v>427023.39500296814</v>
      </c>
      <c r="L105" s="15">
        <f t="shared" si="44"/>
        <v>474585.68321501079</v>
      </c>
      <c r="M105" s="15">
        <f t="shared" si="44"/>
        <v>449505.74856289726</v>
      </c>
      <c r="N105" s="15">
        <f t="shared" si="44"/>
        <v>466391.25222306472</v>
      </c>
      <c r="O105" s="15">
        <f t="shared" si="44"/>
        <v>380348.83160050347</v>
      </c>
      <c r="P105" s="15">
        <f>SUM(D105:O105)</f>
        <v>5834167.3758075451</v>
      </c>
    </row>
    <row r="106" spans="1:16" x14ac:dyDescent="0.2">
      <c r="A106" s="8" t="s">
        <v>399</v>
      </c>
      <c r="B106" t="s">
        <v>400</v>
      </c>
      <c r="C106" s="11">
        <v>0</v>
      </c>
      <c r="D106" s="15">
        <f>C106+Drivers!D22</f>
        <v>0</v>
      </c>
      <c r="E106" s="15">
        <f>D106+Drivers!E22</f>
        <v>0</v>
      </c>
      <c r="F106" s="15">
        <f>E106+Drivers!F22</f>
        <v>0</v>
      </c>
      <c r="G106" s="15">
        <f>F106+Drivers!G22</f>
        <v>0</v>
      </c>
      <c r="H106" s="15">
        <f>G106+Drivers!H22</f>
        <v>0</v>
      </c>
      <c r="I106" s="15">
        <f>H106+Drivers!I22</f>
        <v>60000</v>
      </c>
      <c r="J106" s="15">
        <f>I106+Drivers!J22</f>
        <v>60000</v>
      </c>
      <c r="K106" s="15">
        <f>J106+Drivers!K22</f>
        <v>60000</v>
      </c>
      <c r="L106" s="15">
        <f>K106+Drivers!L22</f>
        <v>60000</v>
      </c>
      <c r="M106" s="15">
        <f>L106+Drivers!M22</f>
        <v>60000</v>
      </c>
      <c r="N106" s="15">
        <f>M106+Drivers!N22</f>
        <v>60000</v>
      </c>
      <c r="O106" s="15">
        <f>N106+Drivers!O22</f>
        <v>60000</v>
      </c>
    </row>
    <row r="107" spans="1:16" x14ac:dyDescent="0.2">
      <c r="A107" s="8" t="s">
        <v>401</v>
      </c>
      <c r="B107" t="s">
        <v>402</v>
      </c>
      <c r="C107" s="15">
        <f>-(Hist_Balances!$AJ$15+Hist_Balances!$AJ$24)</f>
        <v>81285.919999999998</v>
      </c>
      <c r="D107" s="15">
        <f>C107+Assumptions!$H$55*(D15-D105+D19-Drivers!D19-Drivers!D22)-D108</f>
        <v>37470.109827320921</v>
      </c>
      <c r="E107" s="15">
        <f>D107+Assumptions!$H$55*(E15-E105+E19-Drivers!E19-Drivers!E22)-E108</f>
        <v>74774.630738986452</v>
      </c>
      <c r="F107" s="15">
        <f>E107+Assumptions!$H$55*(F15-F105+F19-Drivers!F19-Drivers!F22)-F108</f>
        <v>102508.3804911334</v>
      </c>
      <c r="G107" s="15">
        <f>F107+Assumptions!$H$55*(G15-G105+G19-Drivers!G19-Drivers!G22)-G108</f>
        <v>25993.44596215176</v>
      </c>
      <c r="H107" s="15">
        <f>G107+Assumptions!$H$55*(H15-H105+H19-Drivers!H19-Drivers!H22)-H108</f>
        <v>51429.082926238523</v>
      </c>
      <c r="I107" s="15">
        <f>H107+Assumptions!$H$55*(I15-I105+I19-Drivers!I19-Drivers!I22)-I108</f>
        <v>74569.48867674447</v>
      </c>
      <c r="J107" s="15">
        <f>I107+Assumptions!$H$55*(J15-J105+J19-Drivers!J19-Drivers!J22)-J108</f>
        <v>29370.784406000676</v>
      </c>
      <c r="K107" s="15">
        <f>J107+Assumptions!$H$55*(K15-K105+K19-Drivers!K19-Drivers!K22)-K108</f>
        <v>57663.168123570722</v>
      </c>
      <c r="L107" s="15">
        <f>K107+Assumptions!$H$55*(L15-L105+L19-Drivers!L19-Drivers!L22)-L108</f>
        <v>85641.177471734351</v>
      </c>
      <c r="M107" s="15">
        <f>L107+Assumptions!$H$55*(M15-M105+M19-Drivers!M19-Drivers!M22)-M108</f>
        <v>28150.223346367478</v>
      </c>
      <c r="N107" s="15">
        <f>M107+Assumptions!$H$55*(N15-N105+N19-Drivers!N19-Drivers!N22)-N108</f>
        <v>55769.791664930541</v>
      </c>
      <c r="O107" s="15">
        <f>N107+Assumptions!$H$55*(O15-O105+O19-Drivers!O19-Drivers!O22)-O108</f>
        <v>80293.015411937682</v>
      </c>
    </row>
    <row r="108" spans="1:16" x14ac:dyDescent="0.2">
      <c r="A108" s="8" t="s">
        <v>403</v>
      </c>
      <c r="B108" t="s">
        <v>404</v>
      </c>
      <c r="D108" s="15">
        <f>IF(Drivers!D30,C107,0)</f>
        <v>81285.919999999998</v>
      </c>
      <c r="E108" s="15">
        <f>IF(Drivers!E30,D107,0)</f>
        <v>0</v>
      </c>
      <c r="F108" s="15">
        <f>IF(Drivers!F30,E107,0)</f>
        <v>0</v>
      </c>
      <c r="G108" s="15">
        <f>IF(Drivers!G30,F107,0)</f>
        <v>102508.3804911334</v>
      </c>
      <c r="H108" s="15">
        <f>IF(Drivers!H30,G107,0)</f>
        <v>0</v>
      </c>
      <c r="I108" s="15">
        <f>IF(Drivers!I30,H107,0)</f>
        <v>0</v>
      </c>
      <c r="J108" s="15">
        <f>IF(Drivers!J30,I107,0)</f>
        <v>74569.48867674447</v>
      </c>
      <c r="K108" s="15">
        <f>IF(Drivers!K30,J107,0)</f>
        <v>0</v>
      </c>
      <c r="L108" s="15">
        <f>IF(Drivers!L30,K107,0)</f>
        <v>0</v>
      </c>
      <c r="M108" s="15">
        <f>IF(Drivers!M30,L107,0)</f>
        <v>85641.177471734351</v>
      </c>
      <c r="N108" s="15">
        <f>IF(Drivers!N30,M107,0)</f>
        <v>0</v>
      </c>
      <c r="O108" s="15">
        <f>IF(Drivers!O30,N107,0)</f>
        <v>0</v>
      </c>
      <c r="P108" s="15">
        <f>SUM(D108:O108)</f>
        <v>344004.96663961222</v>
      </c>
    </row>
    <row r="109" spans="1:16" x14ac:dyDescent="0.2">
      <c r="A109" s="8" t="s">
        <v>405</v>
      </c>
      <c r="B109" t="s">
        <v>406</v>
      </c>
      <c r="D109" s="15">
        <f t="shared" ref="D109:O109" si="45">D47-D58</f>
        <v>1501265.4390818384</v>
      </c>
      <c r="E109" s="15">
        <f t="shared" si="45"/>
        <v>1740457.6205458865</v>
      </c>
      <c r="F109" s="15">
        <f t="shared" si="45"/>
        <v>1284771.1788910499</v>
      </c>
      <c r="G109" s="15">
        <f t="shared" si="45"/>
        <v>1355369.6849702655</v>
      </c>
      <c r="H109" s="15">
        <f t="shared" si="45"/>
        <v>1438728.7527645873</v>
      </c>
      <c r="I109" s="15">
        <f t="shared" si="45"/>
        <v>1436738.2342289703</v>
      </c>
      <c r="J109" s="15">
        <f t="shared" si="45"/>
        <v>1577430.4887258564</v>
      </c>
      <c r="K109" s="15">
        <f t="shared" si="45"/>
        <v>1686463.1803801903</v>
      </c>
      <c r="L109" s="15">
        <f t="shared" si="45"/>
        <v>1778526.570405751</v>
      </c>
      <c r="M109" s="15">
        <f t="shared" si="45"/>
        <v>1855597.6403826897</v>
      </c>
      <c r="N109" s="15">
        <f t="shared" si="45"/>
        <v>1939582.855642389</v>
      </c>
      <c r="O109" s="15">
        <f t="shared" si="45"/>
        <v>1958764.3461914149</v>
      </c>
    </row>
    <row r="110" spans="1:16" x14ac:dyDescent="0.2">
      <c r="A110" s="8" t="s">
        <v>407</v>
      </c>
      <c r="B110" t="s">
        <v>408</v>
      </c>
      <c r="D110" s="15">
        <f t="shared" ref="D110:O110" si="46">C39+D75+D76+D77</f>
        <v>1736043.9457315854</v>
      </c>
      <c r="E110" s="15">
        <f t="shared" si="46"/>
        <v>2045166.6918355105</v>
      </c>
      <c r="F110" s="15">
        <f t="shared" si="46"/>
        <v>2269471.1321627195</v>
      </c>
      <c r="G110" s="15">
        <f t="shared" si="46"/>
        <v>1693642.9330066643</v>
      </c>
      <c r="H110" s="15">
        <f t="shared" si="46"/>
        <v>1809259.0315971468</v>
      </c>
      <c r="I110" s="15">
        <f t="shared" si="46"/>
        <v>1536640.4722800979</v>
      </c>
      <c r="J110" s="15">
        <f t="shared" si="46"/>
        <v>1608448.0587600803</v>
      </c>
      <c r="K110" s="15">
        <f t="shared" si="46"/>
        <v>1760135.943500825</v>
      </c>
      <c r="L110" s="15">
        <f t="shared" si="46"/>
        <v>1913875.8569459259</v>
      </c>
      <c r="M110" s="15">
        <f t="shared" si="46"/>
        <v>1947498.9736761693</v>
      </c>
      <c r="N110" s="15">
        <f t="shared" si="46"/>
        <v>2083684.3350152439</v>
      </c>
      <c r="O110" s="15">
        <f t="shared" si="46"/>
        <v>2160422.3009665613</v>
      </c>
    </row>
    <row r="111" spans="1:16" x14ac:dyDescent="0.2">
      <c r="A111" s="8" t="s">
        <v>409</v>
      </c>
      <c r="B111" t="s">
        <v>410</v>
      </c>
      <c r="C111" s="15">
        <f>-Hist_Balances!$AJ$27</f>
        <v>446250</v>
      </c>
      <c r="D111" s="15">
        <f t="shared" ref="D111:O111" si="47">C111+D77</f>
        <v>430000</v>
      </c>
      <c r="E111" s="15">
        <f t="shared" si="47"/>
        <v>413750</v>
      </c>
      <c r="F111" s="15">
        <f t="shared" si="47"/>
        <v>397500</v>
      </c>
      <c r="G111" s="15">
        <f t="shared" si="47"/>
        <v>381250</v>
      </c>
      <c r="H111" s="15">
        <f t="shared" si="47"/>
        <v>365000</v>
      </c>
      <c r="I111" s="15">
        <f t="shared" si="47"/>
        <v>348750</v>
      </c>
      <c r="J111" s="15">
        <f t="shared" si="47"/>
        <v>332500</v>
      </c>
      <c r="K111" s="15">
        <f t="shared" si="47"/>
        <v>316250</v>
      </c>
      <c r="L111" s="15">
        <f t="shared" si="47"/>
        <v>300000</v>
      </c>
      <c r="M111" s="15">
        <f t="shared" si="47"/>
        <v>283750</v>
      </c>
      <c r="N111" s="15">
        <f t="shared" si="47"/>
        <v>267500</v>
      </c>
      <c r="O111" s="15">
        <f t="shared" si="47"/>
        <v>251250</v>
      </c>
    </row>
    <row r="113" spans="1:16" x14ac:dyDescent="0.2">
      <c r="A113" s="14" t="s">
        <v>411</v>
      </c>
    </row>
    <row r="114" spans="1:16" x14ac:dyDescent="0.2">
      <c r="A114" s="8" t="s">
        <v>412</v>
      </c>
      <c r="B114" t="s">
        <v>413</v>
      </c>
      <c r="C114" s="15">
        <f>SUM(Hist_IS!$AA$32:$AI$32)</f>
        <v>844565.36</v>
      </c>
      <c r="D114" s="15">
        <f>IF(Drivers!D27,0,C114)+D34</f>
        <v>1218098.9728335559</v>
      </c>
      <c r="E114" s="15">
        <f>IF(Drivers!E27,0,D114)+E34</f>
        <v>1519652.6630466061</v>
      </c>
      <c r="F114" s="15">
        <f>IF(Drivers!F27,0,E114)+F34</f>
        <v>1582402.9466117527</v>
      </c>
      <c r="G114" s="15">
        <f>IF(Drivers!G27,0,F114)+G34</f>
        <v>61632.209077770392</v>
      </c>
      <c r="H114" s="15">
        <f>IF(Drivers!H27,0,G114)+H34</f>
        <v>137602.12794779459</v>
      </c>
      <c r="I114" s="15">
        <f>IF(Drivers!I27,0,H114)+I34</f>
        <v>185089.36554822477</v>
      </c>
      <c r="J114" s="15">
        <f>IF(Drivers!J27,0,I114)+J34</f>
        <v>326695.59532000701</v>
      </c>
      <c r="K114" s="15">
        <f>IF(Drivers!K27,0,J114)+K34</f>
        <v>432729.50729116943</v>
      </c>
      <c r="L114" s="15">
        <f>IF(Drivers!L27,0,K114)+L34</f>
        <v>522766.41755155969</v>
      </c>
      <c r="M114" s="15">
        <f>IF(Drivers!M27,0,L114)+M34</f>
        <v>603816.49544368789</v>
      </c>
      <c r="N114" s="15">
        <f>IF(Drivers!N27,0,M114)+N34</f>
        <v>693845.98279394757</v>
      </c>
      <c r="O114" s="15">
        <f>IF(Drivers!O27,0,N114)+O34</f>
        <v>699714.7887017735</v>
      </c>
    </row>
    <row r="115" spans="1:16" x14ac:dyDescent="0.2">
      <c r="A115" s="8" t="s">
        <v>414</v>
      </c>
      <c r="B115" t="s">
        <v>415</v>
      </c>
      <c r="C115" s="11">
        <v>0</v>
      </c>
      <c r="D115" s="15">
        <f>IF(Drivers!D27,MAX(0,C115-C114),C115)</f>
        <v>0</v>
      </c>
      <c r="E115" s="15">
        <f>IF(Drivers!E27,MAX(0,D115-D114),D115)</f>
        <v>0</v>
      </c>
      <c r="F115" s="15">
        <f>IF(Drivers!F27,MAX(0,E115-E114),E115)</f>
        <v>0</v>
      </c>
      <c r="G115" s="15">
        <f>IF(Drivers!G27,MAX(0,F115-F114),F115)</f>
        <v>0</v>
      </c>
      <c r="H115" s="15">
        <f>IF(Drivers!H27,MAX(0,G115-G114),G115)</f>
        <v>0</v>
      </c>
      <c r="I115" s="15">
        <f>IF(Drivers!I27,MAX(0,H115-H114),H115)</f>
        <v>0</v>
      </c>
      <c r="J115" s="15">
        <f>IF(Drivers!J27,MAX(0,I115-I114),I115)</f>
        <v>0</v>
      </c>
      <c r="K115" s="15">
        <f>IF(Drivers!K27,MAX(0,J115-J114),J115)</f>
        <v>0</v>
      </c>
      <c r="L115" s="15">
        <f>IF(Drivers!L27,MAX(0,K115-K114),K115)</f>
        <v>0</v>
      </c>
      <c r="M115" s="15">
        <f>IF(Drivers!M27,MAX(0,L115-L114),L115)</f>
        <v>0</v>
      </c>
      <c r="N115" s="15">
        <f>IF(Drivers!N27,MAX(0,M115-M114),M115)</f>
        <v>0</v>
      </c>
      <c r="O115" s="15">
        <f>IF(Drivers!O27,MAX(0,N115-N114),N115)</f>
        <v>0</v>
      </c>
    </row>
    <row r="116" spans="1:16" x14ac:dyDescent="0.2">
      <c r="A116" s="8" t="s">
        <v>416</v>
      </c>
      <c r="B116" t="s">
        <v>417</v>
      </c>
      <c r="C116" s="15">
        <f>-SUM(Hist_IS!$AA$33:$AI$33)</f>
        <v>134250.03</v>
      </c>
      <c r="D116" s="15">
        <f>Assumptions!$H$67*MIN(MAX(0,D114-D115),Assumptions!$H$69)+Assumptions!$H$68*MAX(0,D114-D115-Assumptions!$H$69)</f>
        <v>220162.76375171787</v>
      </c>
      <c r="E116" s="15">
        <f>Assumptions!$H$67*MIN(MAX(0,E114-E115),Assumptions!$H$69)+Assumptions!$H$68*MAX(0,E114-E115-Assumptions!$H$69)</f>
        <v>289520.11250071938</v>
      </c>
      <c r="F116" s="15">
        <f>Assumptions!$H$67*MIN(MAX(0,F114-F115),Assumptions!$H$69)+Assumptions!$H$68*MAX(0,F114-F115-Assumptions!$H$69)</f>
        <v>303952.67772070313</v>
      </c>
      <c r="G116" s="15">
        <f>Assumptions!$H$67*MIN(MAX(0,G114-G115),Assumptions!$H$69)+Assumptions!$H$68*MAX(0,G114-G115-Assumptions!$H$69)</f>
        <v>6779.5429985547435</v>
      </c>
      <c r="H116" s="15">
        <f>Assumptions!$H$67*MIN(MAX(0,H114-H115),Assumptions!$H$69)+Assumptions!$H$68*MAX(0,H114-H115-Assumptions!$H$69)</f>
        <v>15136.234074257405</v>
      </c>
      <c r="I116" s="15">
        <f>Assumptions!$H$67*MIN(MAX(0,I114-I115),Assumptions!$H$69)+Assumptions!$H$68*MAX(0,I114-I115-Assumptions!$H$69)</f>
        <v>20359.830210304724</v>
      </c>
      <c r="J116" s="15">
        <f>Assumptions!$H$67*MIN(MAX(0,J114-J115),Assumptions!$H$69)+Assumptions!$H$68*MAX(0,J114-J115-Assumptions!$H$69)</f>
        <v>35936.515485200769</v>
      </c>
      <c r="K116" s="15">
        <f>Assumptions!$H$67*MIN(MAX(0,K114-K115),Assumptions!$H$69)+Assumptions!$H$68*MAX(0,K114-K115-Assumptions!$H$69)</f>
        <v>47600.245802028636</v>
      </c>
      <c r="L116" s="15">
        <f>Assumptions!$H$67*MIN(MAX(0,L114-L115),Assumptions!$H$69)+Assumptions!$H$68*MAX(0,L114-L115-Assumptions!$H$69)</f>
        <v>60236.276036858726</v>
      </c>
      <c r="M116" s="15">
        <f>Assumptions!$H$67*MIN(MAX(0,M114-M115),Assumptions!$H$69)+Assumptions!$H$68*MAX(0,M114-M115-Assumptions!$H$69)</f>
        <v>78877.793952048218</v>
      </c>
      <c r="N116" s="15">
        <f>Assumptions!$H$67*MIN(MAX(0,N114-N115),Assumptions!$H$69)+Assumptions!$H$68*MAX(0,N114-N115-Assumptions!$H$69)</f>
        <v>99584.576042607951</v>
      </c>
      <c r="O116" s="15">
        <f>Assumptions!$H$67*MIN(MAX(0,O114-O115),Assumptions!$H$69)+Assumptions!$H$68*MAX(0,O114-O115-Assumptions!$H$69)</f>
        <v>100934.4014014079</v>
      </c>
    </row>
    <row r="117" spans="1:16" x14ac:dyDescent="0.2">
      <c r="A117" s="8" t="s">
        <v>418</v>
      </c>
      <c r="B117" t="s">
        <v>419</v>
      </c>
      <c r="C117" s="11">
        <v>0</v>
      </c>
      <c r="D117" s="15">
        <f>IF(Drivers!D27,C116,IF(Drivers!D28,0,C117))</f>
        <v>0</v>
      </c>
      <c r="E117" s="15">
        <f>IF(Drivers!E27,D116,IF(Drivers!E28,0,D117))</f>
        <v>0</v>
      </c>
      <c r="F117" s="15">
        <f>IF(Drivers!F27,E116,IF(Drivers!F28,0,E117))</f>
        <v>0</v>
      </c>
      <c r="G117" s="15">
        <f>IF(Drivers!G27,F116,IF(Drivers!G28,0,F117))</f>
        <v>303952.67772070313</v>
      </c>
      <c r="H117" s="15">
        <f>IF(Drivers!H27,G116,IF(Drivers!H28,0,G117))</f>
        <v>303952.67772070313</v>
      </c>
      <c r="I117" s="15">
        <f>IF(Drivers!I27,H116,IF(Drivers!I28,0,H117))</f>
        <v>0</v>
      </c>
      <c r="J117" s="15">
        <f>IF(Drivers!J27,I116,IF(Drivers!J28,0,I117))</f>
        <v>0</v>
      </c>
      <c r="K117" s="15">
        <f>IF(Drivers!K27,J116,IF(Drivers!K28,0,J117))</f>
        <v>0</v>
      </c>
      <c r="L117" s="15">
        <f>IF(Drivers!L27,K116,IF(Drivers!L28,0,K117))</f>
        <v>0</v>
      </c>
      <c r="M117" s="15">
        <f>IF(Drivers!M27,L116,IF(Drivers!M28,0,L117))</f>
        <v>0</v>
      </c>
      <c r="N117" s="15">
        <f>IF(Drivers!N27,M116,IF(Drivers!N28,0,M117))</f>
        <v>0</v>
      </c>
      <c r="O117" s="15">
        <f>IF(Drivers!O27,N116,IF(Drivers!O28,0,N117))</f>
        <v>0</v>
      </c>
    </row>
    <row r="118" spans="1:16" x14ac:dyDescent="0.2">
      <c r="A118" s="8" t="s">
        <v>420</v>
      </c>
      <c r="B118" t="s">
        <v>421</v>
      </c>
      <c r="D118" s="15">
        <f>IF(Drivers!D28,C117,0)</f>
        <v>0</v>
      </c>
      <c r="E118" s="15">
        <f>IF(Drivers!E28,D117,0)</f>
        <v>0</v>
      </c>
      <c r="F118" s="15">
        <f>IF(Drivers!F28,E117,0)</f>
        <v>0</v>
      </c>
      <c r="G118" s="15">
        <f>IF(Drivers!G28,F117,0)</f>
        <v>0</v>
      </c>
      <c r="H118" s="15">
        <f>IF(Drivers!H28,G117,0)</f>
        <v>0</v>
      </c>
      <c r="I118" s="15">
        <f>IF(Drivers!I28,H117,0)</f>
        <v>303952.67772070313</v>
      </c>
      <c r="J118" s="15">
        <f>IF(Drivers!J28,I117,0)</f>
        <v>0</v>
      </c>
      <c r="K118" s="15">
        <f>IF(Drivers!K28,J117,0)</f>
        <v>0</v>
      </c>
      <c r="L118" s="15">
        <f>IF(Drivers!L28,K117,0)</f>
        <v>0</v>
      </c>
      <c r="M118" s="15">
        <f>IF(Drivers!M28,L117,0)</f>
        <v>0</v>
      </c>
      <c r="N118" s="15">
        <f>IF(Drivers!N28,M117,0)</f>
        <v>0</v>
      </c>
      <c r="O118" s="15">
        <f>IF(Drivers!O28,N117,0)</f>
        <v>0</v>
      </c>
      <c r="P118" s="15">
        <f>SUM(D118:O118)</f>
        <v>303952.67772070313</v>
      </c>
    </row>
    <row r="119" spans="1:16" x14ac:dyDescent="0.2">
      <c r="A119" s="8" t="s">
        <v>422</v>
      </c>
      <c r="B119" t="s">
        <v>423</v>
      </c>
      <c r="C119" s="15">
        <f>SUM(Hist_IS!$AA$34:$AI$34)</f>
        <v>710315.33</v>
      </c>
      <c r="D119" s="15">
        <f>IF(Drivers!D27,0,C119)+D36</f>
        <v>997936.20908183802</v>
      </c>
      <c r="E119" s="15">
        <f>IF(Drivers!E27,0,D119)+E36</f>
        <v>1230132.5505458866</v>
      </c>
      <c r="F119" s="15">
        <f>IF(Drivers!F27,0,E119)+F36</f>
        <v>1278450.2688910495</v>
      </c>
      <c r="G119" s="15">
        <f>IF(Drivers!G27,0,F119)+G36</f>
        <v>54852.666079215647</v>
      </c>
      <c r="H119" s="15">
        <f>IF(Drivers!H27,0,G119)+H36</f>
        <v>122465.89387353718</v>
      </c>
      <c r="I119" s="15">
        <f>IF(Drivers!I27,0,H119)+I36</f>
        <v>164729.53533792007</v>
      </c>
      <c r="J119" s="15">
        <f>IF(Drivers!J27,0,I119)+J36</f>
        <v>290759.07983480627</v>
      </c>
      <c r="K119" s="15">
        <f>IF(Drivers!K27,0,J119)+K36</f>
        <v>385129.2614891408</v>
      </c>
      <c r="L119" s="15">
        <f>IF(Drivers!L27,0,K119)+L36</f>
        <v>462530.14151470095</v>
      </c>
      <c r="M119" s="15">
        <f>IF(Drivers!M27,0,L119)+M36</f>
        <v>524938.7014916396</v>
      </c>
      <c r="N119" s="15">
        <f>IF(Drivers!N27,0,M119)+N36</f>
        <v>594261.40675133956</v>
      </c>
      <c r="O119" s="15">
        <f>IF(Drivers!O27,0,N119)+O36</f>
        <v>598780.3873003656</v>
      </c>
    </row>
  </sheetData>
  <mergeCells count="1">
    <mergeCell ref="A1:P1"/>
  </mergeCells>
  <conditionalFormatting sqref="D85:O86">
    <cfRule type="cellIs" dxfId="0" priority="1" operator="notBetween">
      <formula>-0.01</formula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"/>
  <sheetViews>
    <sheetView showGridLines="0" workbookViewId="0">
      <pane xSplit="1" ySplit="30" topLeftCell="B3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0" customWidth="1"/>
    <col min="2" max="14" width="13" customWidth="1"/>
  </cols>
  <sheetData>
    <row r="1" spans="1:12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9" x14ac:dyDescent="0.25">
      <c r="A2" s="1" t="s">
        <v>424</v>
      </c>
    </row>
    <row r="3" spans="1:12" x14ac:dyDescent="0.2">
      <c r="A3" s="2" t="s">
        <v>425</v>
      </c>
    </row>
    <row r="5" spans="1:12" ht="16" x14ac:dyDescent="0.2">
      <c r="A5" s="6"/>
      <c r="B5" s="7" t="s">
        <v>31</v>
      </c>
      <c r="C5" s="7" t="s">
        <v>27</v>
      </c>
      <c r="D5" s="7" t="s">
        <v>32</v>
      </c>
    </row>
    <row r="6" spans="1:12" x14ac:dyDescent="0.2">
      <c r="A6" t="s">
        <v>426</v>
      </c>
      <c r="B6" s="15">
        <v>14201962.51879248</v>
      </c>
      <c r="C6" s="15">
        <v>15072339.037544239</v>
      </c>
      <c r="D6" s="15">
        <v>15957254.31771346</v>
      </c>
    </row>
    <row r="7" spans="1:12" x14ac:dyDescent="0.2">
      <c r="A7" t="s">
        <v>251</v>
      </c>
      <c r="B7" s="15">
        <v>5144721.8676214209</v>
      </c>
      <c r="C7" s="15">
        <v>5817760.9900605176</v>
      </c>
      <c r="D7" s="15">
        <v>6460218.4211089415</v>
      </c>
    </row>
    <row r="8" spans="1:12" x14ac:dyDescent="0.2">
      <c r="A8" t="s">
        <v>427</v>
      </c>
      <c r="B8" s="15">
        <v>36.225429132162297</v>
      </c>
      <c r="C8" s="15">
        <v>38.598925989979691</v>
      </c>
      <c r="D8" s="15">
        <v>40.484523793906909</v>
      </c>
    </row>
    <row r="9" spans="1:12" x14ac:dyDescent="0.2">
      <c r="A9" t="s">
        <v>264</v>
      </c>
      <c r="B9" s="15">
        <v>1012373.896068374</v>
      </c>
      <c r="C9" s="15">
        <v>1733650.89222529</v>
      </c>
      <c r="D9" s="15">
        <v>2369754.2261467641</v>
      </c>
    </row>
    <row r="10" spans="1:12" x14ac:dyDescent="0.2">
      <c r="A10" t="s">
        <v>428</v>
      </c>
      <c r="B10" s="15">
        <v>739923.59606837365</v>
      </c>
      <c r="C10" s="15">
        <v>1461200.5922252899</v>
      </c>
      <c r="D10" s="15">
        <v>2097303.9261467638</v>
      </c>
    </row>
    <row r="11" spans="1:12" x14ac:dyDescent="0.2">
      <c r="A11" t="s">
        <v>276</v>
      </c>
      <c r="B11" s="15">
        <v>570260.75066736888</v>
      </c>
      <c r="C11" s="15">
        <v>1166915.3261914151</v>
      </c>
      <c r="D11" s="15">
        <v>1656714.893310949</v>
      </c>
    </row>
    <row r="12" spans="1:12" x14ac:dyDescent="0.2">
      <c r="A12" t="s">
        <v>429</v>
      </c>
      <c r="B12" s="15">
        <v>4.0153658335091524</v>
      </c>
      <c r="C12" s="15">
        <v>7.7420984446057304</v>
      </c>
      <c r="D12" s="15">
        <v>10.382205236096929</v>
      </c>
    </row>
    <row r="13" spans="1:12" x14ac:dyDescent="0.2">
      <c r="A13" t="s">
        <v>346</v>
      </c>
      <c r="B13" s="15">
        <v>794257.22742635675</v>
      </c>
      <c r="C13" s="15">
        <v>1536188.3009665611</v>
      </c>
      <c r="D13" s="15">
        <v>2188677.9589888379</v>
      </c>
    </row>
    <row r="14" spans="1:12" x14ac:dyDescent="0.2">
      <c r="A14" t="s">
        <v>430</v>
      </c>
      <c r="B14" s="15">
        <v>1477491.2274263559</v>
      </c>
      <c r="C14" s="15">
        <v>2160422.3009665618</v>
      </c>
      <c r="D14" s="15">
        <v>2760911.9589888388</v>
      </c>
    </row>
    <row r="15" spans="1:12" x14ac:dyDescent="0.2">
      <c r="A15" t="s">
        <v>131</v>
      </c>
      <c r="B15" s="15">
        <v>1205281.352766386</v>
      </c>
      <c r="C15" s="15">
        <v>1536640.4722800979</v>
      </c>
      <c r="D15" s="15">
        <v>1821336.8172430201</v>
      </c>
    </row>
    <row r="16" spans="1:12" x14ac:dyDescent="0.2">
      <c r="A16" t="s">
        <v>431</v>
      </c>
      <c r="B16" s="15">
        <v>0</v>
      </c>
      <c r="C16" s="15">
        <v>0</v>
      </c>
      <c r="D16" s="15">
        <v>0</v>
      </c>
    </row>
    <row r="17" spans="1:14" x14ac:dyDescent="0.2">
      <c r="A17" t="s">
        <v>432</v>
      </c>
      <c r="B17" s="15">
        <v>1421109.7706673681</v>
      </c>
      <c r="C17" s="15">
        <v>1958764.3461914151</v>
      </c>
      <c r="D17" s="15">
        <v>2396563.9133109502</v>
      </c>
    </row>
    <row r="18" spans="1:14" x14ac:dyDescent="0.2">
      <c r="A18" t="s">
        <v>433</v>
      </c>
      <c r="B18" s="15">
        <v>119669.05047043761</v>
      </c>
      <c r="C18" s="15">
        <v>122196.03689222661</v>
      </c>
      <c r="D18" s="15">
        <v>113025.6698958777</v>
      </c>
    </row>
    <row r="19" spans="1:14" x14ac:dyDescent="0.2">
      <c r="A19" t="s">
        <v>434</v>
      </c>
      <c r="B19" s="15">
        <v>581488.39297691744</v>
      </c>
      <c r="C19" s="15">
        <v>537917.10728669504</v>
      </c>
      <c r="D19" s="15">
        <v>515193.91685095901</v>
      </c>
    </row>
    <row r="20" spans="1:14" x14ac:dyDescent="0.2">
      <c r="A20" t="s">
        <v>435</v>
      </c>
      <c r="B20" s="15">
        <v>25016.921081372209</v>
      </c>
      <c r="C20" s="15">
        <v>26516.01721739077</v>
      </c>
      <c r="D20" s="15">
        <v>27817.838023446009</v>
      </c>
    </row>
    <row r="21" spans="1:14" x14ac:dyDescent="0.2">
      <c r="A21" t="s">
        <v>436</v>
      </c>
      <c r="B21" s="15">
        <v>536.2471906560163</v>
      </c>
      <c r="C21" s="15">
        <v>618.66753303721316</v>
      </c>
      <c r="D21" s="15">
        <v>625.62085487477725</v>
      </c>
    </row>
    <row r="22" spans="1:14" x14ac:dyDescent="0.2">
      <c r="A22" t="s">
        <v>437</v>
      </c>
      <c r="B22" s="15">
        <v>0</v>
      </c>
      <c r="C22" s="15">
        <v>0</v>
      </c>
      <c r="D22" s="15">
        <v>0</v>
      </c>
    </row>
    <row r="23" spans="1:14" x14ac:dyDescent="0.2">
      <c r="A23" t="s">
        <v>438</v>
      </c>
      <c r="B23" s="15">
        <v>9707.1466271306144</v>
      </c>
      <c r="C23" s="15">
        <v>10320.66261103909</v>
      </c>
      <c r="D23" s="15">
        <v>10833.60939353749</v>
      </c>
    </row>
    <row r="24" spans="1:14" x14ac:dyDescent="0.2">
      <c r="A24" t="s">
        <v>356</v>
      </c>
      <c r="B24" s="15">
        <v>452000</v>
      </c>
      <c r="C24" s="15">
        <v>511000</v>
      </c>
      <c r="D24" s="15">
        <v>563000</v>
      </c>
    </row>
    <row r="25" spans="1:14" x14ac:dyDescent="0.2">
      <c r="A25" t="s">
        <v>439</v>
      </c>
      <c r="B25" s="15">
        <v>1.862645149230957E-9</v>
      </c>
      <c r="C25" s="15">
        <v>9.3132257461547852E-10</v>
      </c>
      <c r="D25" s="15">
        <v>9.3132257461547852E-10</v>
      </c>
    </row>
    <row r="26" spans="1:14" x14ac:dyDescent="0.2">
      <c r="A26" t="s">
        <v>440</v>
      </c>
      <c r="B26" s="15">
        <v>1.164153218269348E-10</v>
      </c>
      <c r="C26" s="15">
        <v>1.164153218269348E-10</v>
      </c>
      <c r="D26" s="15">
        <v>2.037268131971359E-10</v>
      </c>
    </row>
    <row r="29" spans="1:14" x14ac:dyDescent="0.2">
      <c r="A29" s="3" t="s">
        <v>441</v>
      </c>
    </row>
    <row r="30" spans="1:14" ht="32" x14ac:dyDescent="0.2">
      <c r="A30" s="6" t="s">
        <v>442</v>
      </c>
      <c r="B30" s="7" t="s">
        <v>443</v>
      </c>
      <c r="C30" s="7" t="s">
        <v>444</v>
      </c>
      <c r="D30" s="7" t="s">
        <v>445</v>
      </c>
      <c r="E30" s="7" t="s">
        <v>446</v>
      </c>
      <c r="F30" s="7" t="s">
        <v>447</v>
      </c>
      <c r="G30" s="7" t="s">
        <v>448</v>
      </c>
      <c r="H30" s="7" t="s">
        <v>449</v>
      </c>
      <c r="I30" s="7" t="s">
        <v>450</v>
      </c>
      <c r="J30" s="7" t="s">
        <v>451</v>
      </c>
      <c r="K30" s="7" t="s">
        <v>452</v>
      </c>
      <c r="L30" s="7" t="s">
        <v>453</v>
      </c>
      <c r="M30" s="7" t="s">
        <v>276</v>
      </c>
      <c r="N30" s="7" t="s">
        <v>430</v>
      </c>
    </row>
    <row r="31" spans="1:14" x14ac:dyDescent="0.2">
      <c r="A31" t="s">
        <v>454</v>
      </c>
      <c r="B31" t="s">
        <v>35</v>
      </c>
      <c r="C31" s="15">
        <v>0.1</v>
      </c>
      <c r="D31" s="15">
        <v>24236.789599213749</v>
      </c>
      <c r="E31" s="15">
        <v>34191.406669615768</v>
      </c>
      <c r="F31" s="15">
        <v>34017.37541644345</v>
      </c>
      <c r="G31" s="15">
        <v>26193.37907066126</v>
      </c>
      <c r="H31" s="15">
        <v>26193.3790706615</v>
      </c>
      <c r="I31" s="15">
        <v>16193.379070661031</v>
      </c>
      <c r="J31" s="15">
        <v>16193.379070661031</v>
      </c>
      <c r="K31" s="15">
        <v>69.965364105453773</v>
      </c>
      <c r="L31" s="15">
        <v>-347.28838430429909</v>
      </c>
      <c r="M31" s="15">
        <v>1193108.7052620761</v>
      </c>
      <c r="N31" s="15">
        <v>2176615.6800372228</v>
      </c>
    </row>
    <row r="32" spans="1:14" x14ac:dyDescent="0.2">
      <c r="A32" t="s">
        <v>455</v>
      </c>
      <c r="B32" t="s">
        <v>38</v>
      </c>
      <c r="C32" s="15">
        <v>-0.05</v>
      </c>
      <c r="D32" s="15">
        <v>0</v>
      </c>
      <c r="E32" s="15">
        <v>271948.64914470632</v>
      </c>
      <c r="F32" s="15">
        <v>271948.64914470562</v>
      </c>
      <c r="G32" s="15">
        <v>209400.45984142341</v>
      </c>
      <c r="H32" s="15">
        <v>248015.44858084989</v>
      </c>
      <c r="I32" s="15">
        <v>223015.44858084901</v>
      </c>
      <c r="J32" s="15">
        <v>184400.45984142271</v>
      </c>
      <c r="K32" s="15">
        <v>0</v>
      </c>
      <c r="L32" s="15">
        <v>0</v>
      </c>
      <c r="M32" s="15">
        <v>1376315.786032838</v>
      </c>
      <c r="N32" s="15">
        <v>2383437.7495474112</v>
      </c>
    </row>
    <row r="33" spans="1:14" x14ac:dyDescent="0.2">
      <c r="A33" t="s">
        <v>456</v>
      </c>
      <c r="B33" t="s">
        <v>40</v>
      </c>
      <c r="C33" s="15">
        <v>-0.15</v>
      </c>
      <c r="D33" s="15">
        <v>13745.840225830671</v>
      </c>
      <c r="E33" s="15">
        <v>5395.244384041056</v>
      </c>
      <c r="F33" s="15">
        <v>5296.5429536965676</v>
      </c>
      <c r="G33" s="15">
        <v>4078.3380743463058</v>
      </c>
      <c r="H33" s="15">
        <v>22407.743608179971</v>
      </c>
      <c r="I33" s="15">
        <v>20407.743608179499</v>
      </c>
      <c r="J33" s="15">
        <v>2078.3380743456069</v>
      </c>
      <c r="K33" s="15">
        <v>36.954268096218577</v>
      </c>
      <c r="L33" s="15">
        <v>36.954268096222677</v>
      </c>
      <c r="M33" s="15">
        <v>1170993.6642657609</v>
      </c>
      <c r="N33" s="15">
        <v>2180830.0445747408</v>
      </c>
    </row>
    <row r="34" spans="1:14" x14ac:dyDescent="0.2">
      <c r="A34" t="s">
        <v>457</v>
      </c>
      <c r="B34" t="s">
        <v>42</v>
      </c>
      <c r="C34" s="15">
        <v>0.1</v>
      </c>
      <c r="D34" s="15">
        <v>1406285.1465052241</v>
      </c>
      <c r="E34" s="15">
        <v>822291.11785406806</v>
      </c>
      <c r="F34" s="15">
        <v>812193.34622628661</v>
      </c>
      <c r="G34" s="15">
        <v>625388.87659424008</v>
      </c>
      <c r="H34" s="15">
        <v>754274.96217476763</v>
      </c>
      <c r="I34" s="15">
        <v>720274.96217476763</v>
      </c>
      <c r="J34" s="15">
        <v>591388.87659424031</v>
      </c>
      <c r="K34" s="15">
        <v>2370.48852530972</v>
      </c>
      <c r="L34" s="15">
        <v>352.27835132863993</v>
      </c>
      <c r="M34" s="15">
        <v>1792304.2027856549</v>
      </c>
      <c r="N34" s="15">
        <v>2880697.2631413289</v>
      </c>
    </row>
    <row r="35" spans="1:14" x14ac:dyDescent="0.2">
      <c r="A35" t="s">
        <v>458</v>
      </c>
      <c r="B35" t="s">
        <v>44</v>
      </c>
      <c r="C35" s="15">
        <v>0.05</v>
      </c>
      <c r="D35" s="15">
        <v>0</v>
      </c>
      <c r="E35" s="15">
        <v>290888.0495030256</v>
      </c>
      <c r="F35" s="15">
        <v>290888.04950302612</v>
      </c>
      <c r="G35" s="15">
        <v>223983.7981173298</v>
      </c>
      <c r="H35" s="15">
        <v>273172.05909547582</v>
      </c>
      <c r="I35" s="15">
        <v>245172.05909547579</v>
      </c>
      <c r="J35" s="15">
        <v>195983.7981173298</v>
      </c>
      <c r="K35" s="15">
        <v>0</v>
      </c>
      <c r="L35" s="15">
        <v>0</v>
      </c>
      <c r="M35" s="15">
        <v>1390899.1243087449</v>
      </c>
      <c r="N35" s="15">
        <v>2405594.3600620381</v>
      </c>
    </row>
    <row r="36" spans="1:14" x14ac:dyDescent="0.2">
      <c r="A36" t="s">
        <v>459</v>
      </c>
      <c r="B36" t="s">
        <v>46</v>
      </c>
      <c r="C36" s="15">
        <v>-0.2</v>
      </c>
      <c r="D36" s="15">
        <v>0</v>
      </c>
      <c r="E36" s="15">
        <v>0</v>
      </c>
      <c r="F36" s="15">
        <v>0</v>
      </c>
      <c r="G36" s="15">
        <v>0</v>
      </c>
      <c r="H36" s="15">
        <v>122625.62908225021</v>
      </c>
      <c r="I36" s="15">
        <v>122625.6290822499</v>
      </c>
      <c r="J36" s="15">
        <v>0</v>
      </c>
      <c r="K36" s="15">
        <v>0</v>
      </c>
      <c r="L36" s="15">
        <v>0</v>
      </c>
      <c r="M36" s="15">
        <v>1166915.3261914151</v>
      </c>
      <c r="N36" s="15">
        <v>2283047.9300488122</v>
      </c>
    </row>
    <row r="37" spans="1:14" x14ac:dyDescent="0.2">
      <c r="A37" t="s">
        <v>460</v>
      </c>
      <c r="B37" t="s">
        <v>48</v>
      </c>
      <c r="C37" s="15">
        <v>2</v>
      </c>
      <c r="D37" s="15">
        <v>0</v>
      </c>
      <c r="E37" s="15">
        <v>-148342.89778499311</v>
      </c>
      <c r="F37" s="15">
        <v>-148342.89778499331</v>
      </c>
      <c r="G37" s="15">
        <v>-114224.03129444479</v>
      </c>
      <c r="H37" s="15">
        <v>-141002.9681433423</v>
      </c>
      <c r="I37" s="15">
        <v>-138002.96814334279</v>
      </c>
      <c r="J37" s="15">
        <v>-111224.031294445</v>
      </c>
      <c r="K37" s="15">
        <v>0</v>
      </c>
      <c r="L37" s="15">
        <v>-82.420342381196861</v>
      </c>
      <c r="M37" s="15">
        <v>1052691.29489697</v>
      </c>
      <c r="N37" s="15">
        <v>2022419.332823219</v>
      </c>
    </row>
    <row r="38" spans="1:14" x14ac:dyDescent="0.2">
      <c r="A38" t="s">
        <v>461</v>
      </c>
      <c r="B38" t="s">
        <v>51</v>
      </c>
      <c r="C38" s="15">
        <v>0.25</v>
      </c>
      <c r="D38" s="15">
        <v>335141.99120335467</v>
      </c>
      <c r="E38" s="15">
        <v>189770.36764064711</v>
      </c>
      <c r="F38" s="15">
        <v>187363.8946017609</v>
      </c>
      <c r="G38" s="15">
        <v>144270.19884335581</v>
      </c>
      <c r="H38" s="15">
        <v>170876.1619486585</v>
      </c>
      <c r="I38" s="15">
        <v>161876.16194865809</v>
      </c>
      <c r="J38" s="15">
        <v>135270.19884335581</v>
      </c>
      <c r="K38" s="15">
        <v>0</v>
      </c>
      <c r="L38" s="15">
        <v>0</v>
      </c>
      <c r="M38" s="15">
        <v>1311185.5250347711</v>
      </c>
      <c r="N38" s="15">
        <v>2322298.4629152198</v>
      </c>
    </row>
    <row r="39" spans="1:14" x14ac:dyDescent="0.2">
      <c r="A39" t="s">
        <v>462</v>
      </c>
      <c r="B39" t="s">
        <v>53</v>
      </c>
      <c r="C39" s="15">
        <v>-0.05</v>
      </c>
      <c r="D39" s="15">
        <v>0</v>
      </c>
      <c r="E39" s="15">
        <v>0</v>
      </c>
      <c r="F39" s="15">
        <v>136218.93969250031</v>
      </c>
      <c r="G39" s="15">
        <v>104888.5835632251</v>
      </c>
      <c r="H39" s="15">
        <v>124913.19848204991</v>
      </c>
      <c r="I39" s="15">
        <v>114913.19848204921</v>
      </c>
      <c r="J39" s="15">
        <v>94888.583563223947</v>
      </c>
      <c r="K39" s="15">
        <v>0</v>
      </c>
      <c r="L39" s="15">
        <v>0</v>
      </c>
      <c r="M39" s="15">
        <v>1271803.90975464</v>
      </c>
      <c r="N39" s="15">
        <v>2275335.4994486109</v>
      </c>
    </row>
    <row r="40" spans="1:14" x14ac:dyDescent="0.2">
      <c r="A40" t="s">
        <v>463</v>
      </c>
      <c r="B40" t="s">
        <v>55</v>
      </c>
      <c r="C40" s="15">
        <v>0.01</v>
      </c>
      <c r="D40" s="15">
        <v>0</v>
      </c>
      <c r="E40" s="15">
        <v>0</v>
      </c>
      <c r="F40" s="15">
        <v>0</v>
      </c>
      <c r="G40" s="15">
        <v>-2747.9375</v>
      </c>
      <c r="H40" s="15">
        <v>-3321.5</v>
      </c>
      <c r="I40" s="15">
        <v>-3321.5000000004661</v>
      </c>
      <c r="J40" s="15">
        <v>-2747.9375000004661</v>
      </c>
      <c r="K40" s="15">
        <v>0</v>
      </c>
      <c r="L40" s="15">
        <v>0</v>
      </c>
      <c r="M40" s="15">
        <v>1164167.3886914151</v>
      </c>
      <c r="N40" s="15">
        <v>2157100.8009665608</v>
      </c>
    </row>
    <row r="43" spans="1:14" x14ac:dyDescent="0.2">
      <c r="A43" s="3" t="s">
        <v>464</v>
      </c>
    </row>
    <row r="44" spans="1:14" x14ac:dyDescent="0.2">
      <c r="A44" t="s">
        <v>465</v>
      </c>
      <c r="B44" s="15">
        <f>SUM(Forecast!D15:O15)</f>
        <v>15072339.037544243</v>
      </c>
    </row>
    <row r="45" spans="1:14" x14ac:dyDescent="0.2">
      <c r="A45" t="s">
        <v>277</v>
      </c>
      <c r="B45" s="15">
        <f>SUM(Forecast!D36:O36)</f>
        <v>1166915.3261914153</v>
      </c>
    </row>
    <row r="46" spans="1:14" x14ac:dyDescent="0.2">
      <c r="A46" t="s">
        <v>466</v>
      </c>
      <c r="B46" s="15">
        <f>Forecast!O39</f>
        <v>2160422.3009665613</v>
      </c>
    </row>
    <row r="47" spans="1:14" x14ac:dyDescent="0.2">
      <c r="A47" t="s">
        <v>132</v>
      </c>
      <c r="B47" s="15">
        <f>MIN(Forecast!D39:O39)</f>
        <v>1536640.4722800979</v>
      </c>
    </row>
    <row r="48" spans="1:14" x14ac:dyDescent="0.2">
      <c r="A48" t="s">
        <v>467</v>
      </c>
      <c r="B48" s="15">
        <f>MAX(0,MAX(Forecast!D56:O56))</f>
        <v>0</v>
      </c>
    </row>
    <row r="49" spans="1:2" x14ac:dyDescent="0.2">
      <c r="A49" t="s">
        <v>468</v>
      </c>
      <c r="B49" s="15">
        <f>Forecast!O40</f>
        <v>537917.10728669527</v>
      </c>
    </row>
    <row r="50" spans="1:2" x14ac:dyDescent="0.2">
      <c r="A50" t="s">
        <v>469</v>
      </c>
      <c r="B50" s="15">
        <f>MAX(ABS(MIN(Forecast!D85:O85)),ABS(MAX(Forecast!D85:O85)))</f>
        <v>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/>
  </sheetViews>
  <sheetFormatPr baseColWidth="10" defaultColWidth="8.83203125" defaultRowHeight="15" x14ac:dyDescent="0.2"/>
  <cols>
    <col min="1" max="1" width="72" customWidth="1"/>
    <col min="2" max="2" width="14" customWidth="1"/>
  </cols>
  <sheetData>
    <row r="1" spans="1:6" x14ac:dyDescent="0.2">
      <c r="A1" s="20" t="s">
        <v>0</v>
      </c>
      <c r="B1" s="21"/>
      <c r="C1" s="21"/>
      <c r="D1" s="21"/>
      <c r="E1" s="21"/>
      <c r="F1" s="21"/>
    </row>
    <row r="2" spans="1:6" ht="19" x14ac:dyDescent="0.25">
      <c r="A2" s="1" t="s">
        <v>470</v>
      </c>
    </row>
    <row r="5" spans="1:6" ht="16" x14ac:dyDescent="0.2">
      <c r="A5" s="6" t="s">
        <v>471</v>
      </c>
      <c r="B5" s="7" t="s">
        <v>62</v>
      </c>
      <c r="C5" s="7" t="s">
        <v>472</v>
      </c>
    </row>
    <row r="6" spans="1:6" x14ac:dyDescent="0.2">
      <c r="A6" t="s">
        <v>473</v>
      </c>
      <c r="B6" s="18">
        <f>MAX(ABS(MIN(Hist_Balances!$C$64:$AJ$64)),ABS(MAX(Hist_Balances!$C$64:$AJ$64)))</f>
        <v>0</v>
      </c>
      <c r="C6" t="b">
        <f t="shared" ref="C6:C11" si="0">ABS(B6)&lt;0.01</f>
        <v>1</v>
      </c>
    </row>
    <row r="7" spans="1:6" x14ac:dyDescent="0.2">
      <c r="A7" t="s">
        <v>474</v>
      </c>
      <c r="B7" s="18">
        <f>MAX(ABS(MIN(Hist_BS!C33:AI33)),ABS(MAX(Hist_BS!C33:AI33)))</f>
        <v>0</v>
      </c>
      <c r="C7" t="b">
        <f t="shared" si="0"/>
        <v>1</v>
      </c>
    </row>
    <row r="8" spans="1:6" x14ac:dyDescent="0.2">
      <c r="A8" t="s">
        <v>475</v>
      </c>
      <c r="B8" s="18">
        <f>MAX(ABS(MIN(Hist_CF!C24:AI24)),ABS(MAX(Hist_CF!C24:AI24)))</f>
        <v>0</v>
      </c>
      <c r="C8" t="b">
        <f t="shared" si="0"/>
        <v>1</v>
      </c>
    </row>
    <row r="9" spans="1:6" x14ac:dyDescent="0.2">
      <c r="A9" t="s">
        <v>476</v>
      </c>
      <c r="B9" s="18">
        <f>MAX(ABS(MIN(Forecast!D85:O85)),ABS(MAX(Forecast!D85:O85)))</f>
        <v>0</v>
      </c>
      <c r="C9" t="b">
        <f t="shared" si="0"/>
        <v>1</v>
      </c>
    </row>
    <row r="10" spans="1:6" x14ac:dyDescent="0.2">
      <c r="A10" t="s">
        <v>477</v>
      </c>
      <c r="B10" s="18">
        <f>MAX(ABS(MIN(Forecast!D86:O86)),ABS(MAX(Forecast!D86:O86)))</f>
        <v>1.6007106751203537E-10</v>
      </c>
      <c r="C10" t="b">
        <f t="shared" si="0"/>
        <v>1</v>
      </c>
    </row>
    <row r="11" spans="1:6" x14ac:dyDescent="0.2">
      <c r="A11" t="s">
        <v>478</v>
      </c>
      <c r="B11" s="18">
        <f>ROUND(Forecast!C39-Hist_BS!AI6,2)</f>
        <v>0</v>
      </c>
      <c r="C11" t="b">
        <f t="shared" si="0"/>
        <v>1</v>
      </c>
    </row>
    <row r="12" spans="1:6" x14ac:dyDescent="0.2">
      <c r="A12" s="4" t="s">
        <v>479</v>
      </c>
      <c r="C12" s="4" t="b">
        <f>AND(C6:C11)</f>
        <v>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19" x14ac:dyDescent="0.25">
      <c r="A2" s="1" t="s">
        <v>480</v>
      </c>
    </row>
    <row r="3" spans="1:40" x14ac:dyDescent="0.2">
      <c r="A3" s="2" t="s">
        <v>481</v>
      </c>
    </row>
    <row r="5" spans="1:40" ht="32" x14ac:dyDescent="0.2">
      <c r="A5" s="6" t="s">
        <v>153</v>
      </c>
      <c r="B5" s="7" t="s">
        <v>28</v>
      </c>
      <c r="C5" s="7" t="s">
        <v>482</v>
      </c>
      <c r="D5" s="7" t="s">
        <v>483</v>
      </c>
      <c r="E5" s="7" t="s">
        <v>484</v>
      </c>
      <c r="F5" s="7" t="s">
        <v>485</v>
      </c>
      <c r="G5" s="7" t="s">
        <v>486</v>
      </c>
      <c r="H5" s="7" t="s">
        <v>487</v>
      </c>
      <c r="I5" s="7" t="s">
        <v>488</v>
      </c>
      <c r="J5" s="7" t="s">
        <v>489</v>
      </c>
      <c r="K5" s="7" t="s">
        <v>490</v>
      </c>
      <c r="L5" s="7" t="s">
        <v>491</v>
      </c>
      <c r="M5" s="7" t="s">
        <v>492</v>
      </c>
      <c r="N5" s="7" t="s">
        <v>493</v>
      </c>
      <c r="O5" s="7" t="s">
        <v>494</v>
      </c>
      <c r="P5" s="7" t="s">
        <v>495</v>
      </c>
      <c r="Q5" s="7" t="s">
        <v>496</v>
      </c>
      <c r="R5" s="7" t="s">
        <v>497</v>
      </c>
      <c r="S5" s="7" t="s">
        <v>498</v>
      </c>
      <c r="T5" s="7" t="s">
        <v>499</v>
      </c>
      <c r="U5" s="7" t="s">
        <v>500</v>
      </c>
      <c r="V5" s="7" t="s">
        <v>501</v>
      </c>
      <c r="W5" s="7" t="s">
        <v>502</v>
      </c>
      <c r="X5" s="7" t="s">
        <v>503</v>
      </c>
      <c r="Y5" s="7" t="s">
        <v>504</v>
      </c>
      <c r="Z5" s="7" t="s">
        <v>505</v>
      </c>
      <c r="AA5" s="7" t="s">
        <v>506</v>
      </c>
      <c r="AB5" s="7" t="s">
        <v>507</v>
      </c>
      <c r="AC5" s="7" t="s">
        <v>508</v>
      </c>
      <c r="AD5" s="7" t="s">
        <v>509</v>
      </c>
      <c r="AE5" s="7" t="s">
        <v>510</v>
      </c>
      <c r="AF5" s="7" t="s">
        <v>511</v>
      </c>
      <c r="AG5" s="7" t="s">
        <v>512</v>
      </c>
      <c r="AH5" s="7" t="s">
        <v>513</v>
      </c>
      <c r="AI5" s="7" t="s">
        <v>514</v>
      </c>
      <c r="AJ5" s="7" t="s">
        <v>515</v>
      </c>
      <c r="AK5" s="7" t="s">
        <v>516</v>
      </c>
      <c r="AL5" s="7" t="s">
        <v>517</v>
      </c>
    </row>
    <row r="6" spans="1:40" x14ac:dyDescent="0.2">
      <c r="A6" t="s">
        <v>222</v>
      </c>
      <c r="B6" s="8" t="s">
        <v>221</v>
      </c>
      <c r="C6" s="15">
        <v>535748.84</v>
      </c>
      <c r="D6" s="15">
        <v>697212.33</v>
      </c>
      <c r="E6" s="15">
        <v>600100.5</v>
      </c>
      <c r="F6" s="15">
        <v>635993.75</v>
      </c>
      <c r="G6" s="15">
        <v>641852.68000000005</v>
      </c>
      <c r="H6" s="15">
        <v>385344.1</v>
      </c>
      <c r="I6" s="15">
        <v>381913.17</v>
      </c>
      <c r="J6" s="15">
        <v>416953.28</v>
      </c>
      <c r="K6" s="15">
        <v>646361.59</v>
      </c>
      <c r="L6" s="15">
        <v>538820.54</v>
      </c>
      <c r="M6" s="15">
        <v>576821.13</v>
      </c>
      <c r="N6" s="15">
        <v>532711.48</v>
      </c>
      <c r="O6" s="15">
        <v>699721.5</v>
      </c>
      <c r="P6" s="15">
        <v>617088.75</v>
      </c>
      <c r="Q6" s="15">
        <v>648451.89</v>
      </c>
      <c r="R6" s="15">
        <v>499351.84</v>
      </c>
      <c r="S6" s="15">
        <v>668416.44999999995</v>
      </c>
      <c r="T6" s="15">
        <v>548686.80000000005</v>
      </c>
      <c r="U6" s="15">
        <v>624666.57999999996</v>
      </c>
      <c r="V6" s="15">
        <v>765727.54</v>
      </c>
      <c r="W6" s="15">
        <v>657986.31000000006</v>
      </c>
      <c r="X6" s="15">
        <v>657157.07999999996</v>
      </c>
      <c r="Y6" s="15">
        <v>563695.48</v>
      </c>
      <c r="Z6" s="15">
        <v>729662.15</v>
      </c>
      <c r="AA6" s="15">
        <v>1115733.07</v>
      </c>
      <c r="AB6" s="15">
        <v>831639.92</v>
      </c>
      <c r="AC6" s="15">
        <v>819803.78</v>
      </c>
      <c r="AD6" s="15">
        <v>796755.85</v>
      </c>
      <c r="AE6" s="15">
        <v>628523.38</v>
      </c>
      <c r="AF6" s="15">
        <v>643079.80000000005</v>
      </c>
      <c r="AG6" s="15">
        <v>674357.74</v>
      </c>
      <c r="AH6" s="15">
        <v>757456.93</v>
      </c>
      <c r="AI6" s="15">
        <v>667874.6</v>
      </c>
      <c r="AJ6" s="15">
        <f t="shared" ref="AJ6:AJ34" si="0">SUM(C6:N6)</f>
        <v>6589833.3900000006</v>
      </c>
      <c r="AK6" s="15">
        <f t="shared" ref="AK6:AK34" si="1">SUM(O6:Z6)</f>
        <v>7680612.370000001</v>
      </c>
      <c r="AL6" s="15">
        <f t="shared" ref="AL6:AL34" si="2">SUM(AA6:AI6)</f>
        <v>6935225.0700000003</v>
      </c>
    </row>
    <row r="7" spans="1:40" x14ac:dyDescent="0.2">
      <c r="A7" t="s">
        <v>224</v>
      </c>
      <c r="B7" s="8" t="s">
        <v>223</v>
      </c>
      <c r="C7" s="15">
        <v>185909.12</v>
      </c>
      <c r="D7" s="15">
        <v>187246.52</v>
      </c>
      <c r="E7" s="15">
        <v>154214.04</v>
      </c>
      <c r="F7" s="15">
        <v>266248.40000000002</v>
      </c>
      <c r="G7" s="15">
        <v>313601.58</v>
      </c>
      <c r="H7" s="15">
        <v>208274.83</v>
      </c>
      <c r="I7" s="15">
        <v>169098</v>
      </c>
      <c r="J7" s="15">
        <v>178348.41</v>
      </c>
      <c r="K7" s="15">
        <v>190058.5</v>
      </c>
      <c r="L7" s="15">
        <v>369088.9</v>
      </c>
      <c r="M7" s="15">
        <v>347868.64</v>
      </c>
      <c r="N7" s="15">
        <v>171743.08</v>
      </c>
      <c r="O7" s="15">
        <v>186033.77</v>
      </c>
      <c r="P7" s="15">
        <v>218788.91</v>
      </c>
      <c r="Q7" s="15">
        <v>203322.18</v>
      </c>
      <c r="R7" s="15">
        <v>260923.49</v>
      </c>
      <c r="S7" s="15">
        <v>343077.28</v>
      </c>
      <c r="T7" s="15">
        <v>228817.78</v>
      </c>
      <c r="U7" s="15">
        <v>224374.52</v>
      </c>
      <c r="V7" s="15">
        <v>214544.27</v>
      </c>
      <c r="W7" s="15">
        <v>213509.76000000001</v>
      </c>
      <c r="X7" s="15">
        <v>405072.41</v>
      </c>
      <c r="Y7" s="15">
        <v>440663.15</v>
      </c>
      <c r="Z7" s="15">
        <v>215245.71</v>
      </c>
      <c r="AA7" s="15">
        <v>270709.69</v>
      </c>
      <c r="AB7" s="15">
        <v>213835.05</v>
      </c>
      <c r="AC7" s="15">
        <v>238018.94</v>
      </c>
      <c r="AD7" s="15">
        <v>383098.24</v>
      </c>
      <c r="AE7" s="15">
        <v>439580.36</v>
      </c>
      <c r="AF7" s="15">
        <v>311008.96000000002</v>
      </c>
      <c r="AG7" s="15">
        <v>236370.23</v>
      </c>
      <c r="AH7" s="15">
        <v>248304.35</v>
      </c>
      <c r="AI7" s="15">
        <v>260873.48</v>
      </c>
      <c r="AJ7" s="15">
        <f t="shared" si="0"/>
        <v>2741700.0200000005</v>
      </c>
      <c r="AK7" s="15">
        <f t="shared" si="1"/>
        <v>3154373.23</v>
      </c>
      <c r="AL7" s="15">
        <f t="shared" si="2"/>
        <v>2601799.2999999998</v>
      </c>
    </row>
    <row r="8" spans="1:40" x14ac:dyDescent="0.2">
      <c r="A8" t="s">
        <v>226</v>
      </c>
      <c r="B8" s="8" t="s">
        <v>225</v>
      </c>
      <c r="C8" s="15">
        <v>6032.6</v>
      </c>
      <c r="D8" s="15">
        <v>5684.6</v>
      </c>
      <c r="E8" s="15">
        <v>12470</v>
      </c>
      <c r="F8" s="15">
        <v>15892.8</v>
      </c>
      <c r="G8" s="15">
        <v>13975</v>
      </c>
      <c r="H8" s="15">
        <v>15239.2</v>
      </c>
      <c r="I8" s="15">
        <v>16348.6</v>
      </c>
      <c r="J8" s="15">
        <v>19350</v>
      </c>
      <c r="K8" s="15">
        <v>10939.2</v>
      </c>
      <c r="L8" s="15">
        <v>13192.4</v>
      </c>
      <c r="M8" s="15">
        <v>9262.2000000000007</v>
      </c>
      <c r="N8" s="15">
        <v>7817.4</v>
      </c>
      <c r="O8" s="15">
        <v>10414.799999999999</v>
      </c>
      <c r="P8" s="15">
        <v>7272</v>
      </c>
      <c r="Q8" s="15">
        <v>10368</v>
      </c>
      <c r="R8" s="15">
        <v>17118</v>
      </c>
      <c r="S8" s="15">
        <v>30357</v>
      </c>
      <c r="T8" s="15">
        <v>37665</v>
      </c>
      <c r="U8" s="15">
        <v>34749</v>
      </c>
      <c r="V8" s="15">
        <v>30798</v>
      </c>
      <c r="W8" s="15">
        <v>36225</v>
      </c>
      <c r="X8" s="15">
        <v>33669</v>
      </c>
      <c r="Y8" s="15">
        <v>17604</v>
      </c>
      <c r="Z8" s="15">
        <v>22329</v>
      </c>
      <c r="AA8" s="15">
        <v>22839.8</v>
      </c>
      <c r="AB8" s="15">
        <v>24195.599999999999</v>
      </c>
      <c r="AC8" s="15">
        <v>38295.599999999999</v>
      </c>
      <c r="AD8" s="15">
        <v>61513.599999999999</v>
      </c>
      <c r="AE8" s="15">
        <v>57659.6</v>
      </c>
      <c r="AF8" s="15">
        <v>66204.2</v>
      </c>
      <c r="AG8" s="15">
        <v>42121.4</v>
      </c>
      <c r="AH8" s="15">
        <v>53335.6</v>
      </c>
      <c r="AI8" s="15">
        <v>55826.6</v>
      </c>
      <c r="AJ8" s="15">
        <f t="shared" si="0"/>
        <v>146204</v>
      </c>
      <c r="AK8" s="15">
        <f t="shared" si="1"/>
        <v>288568.8</v>
      </c>
      <c r="AL8" s="15">
        <f t="shared" si="2"/>
        <v>421992</v>
      </c>
    </row>
    <row r="9" spans="1:40" x14ac:dyDescent="0.2">
      <c r="A9" t="s">
        <v>228</v>
      </c>
      <c r="B9" s="8" t="s">
        <v>227</v>
      </c>
      <c r="C9" s="15">
        <v>36990.19</v>
      </c>
      <c r="D9" s="15">
        <v>28679.49</v>
      </c>
      <c r="E9" s="15">
        <v>37116.230000000003</v>
      </c>
      <c r="F9" s="15">
        <v>49812.14</v>
      </c>
      <c r="G9" s="15">
        <v>46379.55</v>
      </c>
      <c r="H9" s="15">
        <v>37325.370000000003</v>
      </c>
      <c r="I9" s="15">
        <v>36745.57</v>
      </c>
      <c r="J9" s="15">
        <v>39138.71</v>
      </c>
      <c r="K9" s="15">
        <v>25593.51</v>
      </c>
      <c r="L9" s="15">
        <v>38664.879999999997</v>
      </c>
      <c r="M9" s="15">
        <v>33297.279999999999</v>
      </c>
      <c r="N9" s="15">
        <v>20253.07</v>
      </c>
      <c r="O9" s="15">
        <v>34216.230000000003</v>
      </c>
      <c r="P9" s="15">
        <v>29155.72</v>
      </c>
      <c r="Q9" s="15">
        <v>54639.62</v>
      </c>
      <c r="R9" s="15">
        <v>40927.86</v>
      </c>
      <c r="S9" s="15">
        <v>58813.24</v>
      </c>
      <c r="T9" s="15">
        <v>46501.84</v>
      </c>
      <c r="U9" s="15">
        <v>36182.69</v>
      </c>
      <c r="V9" s="15">
        <v>50513.56</v>
      </c>
      <c r="W9" s="15">
        <v>27530.720000000001</v>
      </c>
      <c r="X9" s="15">
        <v>37789.39</v>
      </c>
      <c r="Y9" s="15">
        <v>39084.160000000003</v>
      </c>
      <c r="Z9" s="15">
        <v>31715.35</v>
      </c>
      <c r="AA9" s="15">
        <v>37113.25</v>
      </c>
      <c r="AB9" s="15">
        <v>38630.76</v>
      </c>
      <c r="AC9" s="15">
        <v>50478.39</v>
      </c>
      <c r="AD9" s="15">
        <v>52260.800000000003</v>
      </c>
      <c r="AE9" s="15">
        <v>52842.69</v>
      </c>
      <c r="AF9" s="15">
        <v>44753.98</v>
      </c>
      <c r="AG9" s="15">
        <v>45201.94</v>
      </c>
      <c r="AH9" s="15">
        <v>69551.56</v>
      </c>
      <c r="AI9" s="15">
        <v>53702.35</v>
      </c>
      <c r="AJ9" s="15">
        <f t="shared" si="0"/>
        <v>429995.99000000005</v>
      </c>
      <c r="AK9" s="15">
        <f t="shared" si="1"/>
        <v>487070.38</v>
      </c>
      <c r="AL9" s="15">
        <f t="shared" si="2"/>
        <v>444535.72</v>
      </c>
    </row>
    <row r="10" spans="1:40" x14ac:dyDescent="0.2">
      <c r="A10" t="s">
        <v>230</v>
      </c>
      <c r="B10" s="8" t="s">
        <v>229</v>
      </c>
      <c r="C10" s="15">
        <v>8595.16</v>
      </c>
      <c r="D10" s="15">
        <v>6625.65</v>
      </c>
      <c r="E10" s="15">
        <v>9074.35</v>
      </c>
      <c r="F10" s="15">
        <v>8669</v>
      </c>
      <c r="G10" s="15">
        <v>9262.9699999999993</v>
      </c>
      <c r="H10" s="15">
        <v>8337.4699999999993</v>
      </c>
      <c r="I10" s="15">
        <v>7424.71</v>
      </c>
      <c r="J10" s="15">
        <v>48418.62</v>
      </c>
      <c r="K10" s="15">
        <v>17771.2</v>
      </c>
      <c r="L10" s="15">
        <v>12649.76</v>
      </c>
      <c r="M10" s="15">
        <v>9651.44</v>
      </c>
      <c r="N10" s="15">
        <v>10124.959999999999</v>
      </c>
      <c r="O10" s="15">
        <v>9919.6299999999992</v>
      </c>
      <c r="P10" s="15">
        <v>9412.9</v>
      </c>
      <c r="Q10" s="15">
        <v>12579.49</v>
      </c>
      <c r="R10" s="15">
        <v>8922.7800000000007</v>
      </c>
      <c r="S10" s="15">
        <v>18835.23</v>
      </c>
      <c r="T10" s="15">
        <v>30291.58</v>
      </c>
      <c r="U10" s="15">
        <v>56356.25</v>
      </c>
      <c r="V10" s="15">
        <v>80300.509999999995</v>
      </c>
      <c r="W10" s="15">
        <v>54704.21</v>
      </c>
      <c r="X10" s="15">
        <v>44844.94</v>
      </c>
      <c r="Y10" s="15">
        <v>38056.74</v>
      </c>
      <c r="Z10" s="15">
        <v>22726.79</v>
      </c>
      <c r="AA10" s="15">
        <v>46911.53</v>
      </c>
      <c r="AB10" s="15">
        <v>29218.25</v>
      </c>
      <c r="AC10" s="15">
        <v>62981.53</v>
      </c>
      <c r="AD10" s="15">
        <v>77274.89</v>
      </c>
      <c r="AE10" s="15">
        <v>54051.37</v>
      </c>
      <c r="AF10" s="15">
        <v>86525.79</v>
      </c>
      <c r="AG10" s="15">
        <v>141310.65</v>
      </c>
      <c r="AH10" s="15">
        <v>74340.63</v>
      </c>
      <c r="AI10" s="15">
        <v>90328.55</v>
      </c>
      <c r="AJ10" s="15">
        <f t="shared" si="0"/>
        <v>156605.29</v>
      </c>
      <c r="AK10" s="15">
        <f t="shared" si="1"/>
        <v>386951.05</v>
      </c>
      <c r="AL10" s="15">
        <f t="shared" si="2"/>
        <v>662943.19000000006</v>
      </c>
    </row>
    <row r="11" spans="1:40" x14ac:dyDescent="0.2">
      <c r="A11" s="16" t="s">
        <v>232</v>
      </c>
      <c r="B11" s="16" t="s">
        <v>231</v>
      </c>
      <c r="C11" s="17">
        <f t="shared" ref="C11:AI11" si="3">C6+C7+C8+C9+C10</f>
        <v>773275.91</v>
      </c>
      <c r="D11" s="17">
        <f t="shared" si="3"/>
        <v>925448.59</v>
      </c>
      <c r="E11" s="17">
        <f t="shared" si="3"/>
        <v>812975.12</v>
      </c>
      <c r="F11" s="17">
        <f t="shared" si="3"/>
        <v>976616.09000000008</v>
      </c>
      <c r="G11" s="17">
        <f t="shared" si="3"/>
        <v>1025071.78</v>
      </c>
      <c r="H11" s="17">
        <f t="shared" si="3"/>
        <v>654520.96999999986</v>
      </c>
      <c r="I11" s="17">
        <f t="shared" si="3"/>
        <v>611530.04999999981</v>
      </c>
      <c r="J11" s="17">
        <f t="shared" si="3"/>
        <v>702209.02</v>
      </c>
      <c r="K11" s="17">
        <f t="shared" si="3"/>
        <v>890723.99999999988</v>
      </c>
      <c r="L11" s="17">
        <f t="shared" si="3"/>
        <v>972416.4800000001</v>
      </c>
      <c r="M11" s="17">
        <f t="shared" si="3"/>
        <v>976900.69</v>
      </c>
      <c r="N11" s="17">
        <f t="shared" si="3"/>
        <v>742649.98999999987</v>
      </c>
      <c r="O11" s="17">
        <f t="shared" si="3"/>
        <v>940305.93</v>
      </c>
      <c r="P11" s="17">
        <f t="shared" si="3"/>
        <v>881718.28</v>
      </c>
      <c r="Q11" s="17">
        <f t="shared" si="3"/>
        <v>929361.18</v>
      </c>
      <c r="R11" s="17">
        <f t="shared" si="3"/>
        <v>827243.97000000009</v>
      </c>
      <c r="S11" s="17">
        <f t="shared" si="3"/>
        <v>1119499.2</v>
      </c>
      <c r="T11" s="17">
        <f t="shared" si="3"/>
        <v>891963</v>
      </c>
      <c r="U11" s="17">
        <f t="shared" si="3"/>
        <v>976329.04</v>
      </c>
      <c r="V11" s="17">
        <f t="shared" si="3"/>
        <v>1141883.8800000001</v>
      </c>
      <c r="W11" s="17">
        <f t="shared" si="3"/>
        <v>989956</v>
      </c>
      <c r="X11" s="17">
        <f t="shared" si="3"/>
        <v>1178532.8199999998</v>
      </c>
      <c r="Y11" s="17">
        <f t="shared" si="3"/>
        <v>1099103.53</v>
      </c>
      <c r="Z11" s="17">
        <f t="shared" si="3"/>
        <v>1021679</v>
      </c>
      <c r="AA11" s="17">
        <f t="shared" si="3"/>
        <v>1493307.34</v>
      </c>
      <c r="AB11" s="17">
        <f t="shared" si="3"/>
        <v>1137519.58</v>
      </c>
      <c r="AC11" s="17">
        <f t="shared" si="3"/>
        <v>1209578.24</v>
      </c>
      <c r="AD11" s="17">
        <f t="shared" si="3"/>
        <v>1370903.38</v>
      </c>
      <c r="AE11" s="17">
        <f t="shared" si="3"/>
        <v>1232657.4000000001</v>
      </c>
      <c r="AF11" s="17">
        <f t="shared" si="3"/>
        <v>1151572.73</v>
      </c>
      <c r="AG11" s="17">
        <f t="shared" si="3"/>
        <v>1139361.96</v>
      </c>
      <c r="AH11" s="17">
        <f t="shared" si="3"/>
        <v>1202989.0700000003</v>
      </c>
      <c r="AI11" s="17">
        <f t="shared" si="3"/>
        <v>1128605.5799999998</v>
      </c>
      <c r="AJ11" s="17">
        <f t="shared" si="0"/>
        <v>10064338.689999999</v>
      </c>
      <c r="AK11" s="17">
        <f t="shared" si="1"/>
        <v>11997575.83</v>
      </c>
      <c r="AL11" s="17">
        <f t="shared" si="2"/>
        <v>11066495.279999999</v>
      </c>
    </row>
    <row r="12" spans="1:40" x14ac:dyDescent="0.2">
      <c r="A12" t="s">
        <v>234</v>
      </c>
      <c r="B12" s="8" t="s">
        <v>233</v>
      </c>
      <c r="C12" s="15">
        <v>-3112.93</v>
      </c>
      <c r="D12" s="15">
        <v>-4732.8900000000003</v>
      </c>
      <c r="E12" s="15">
        <v>-4456.2</v>
      </c>
      <c r="F12" s="15">
        <v>-5368.98</v>
      </c>
      <c r="G12" s="15">
        <v>-5214.1400000000003</v>
      </c>
      <c r="H12" s="15">
        <v>-3730.93</v>
      </c>
      <c r="I12" s="15">
        <v>-3919.31</v>
      </c>
      <c r="J12" s="15">
        <v>-7050.52</v>
      </c>
      <c r="K12" s="15">
        <v>-6318.43</v>
      </c>
      <c r="L12" s="15">
        <v>-4659.09</v>
      </c>
      <c r="M12" s="15">
        <v>-5848.26</v>
      </c>
      <c r="N12" s="15">
        <v>-7455.76</v>
      </c>
      <c r="O12" s="15">
        <v>-7003.99</v>
      </c>
      <c r="P12" s="15">
        <v>-5728.49</v>
      </c>
      <c r="Q12" s="15">
        <v>-3822.35</v>
      </c>
      <c r="R12" s="15">
        <v>-7025.26</v>
      </c>
      <c r="S12" s="15">
        <v>-5024.58</v>
      </c>
      <c r="T12" s="15">
        <v>-6709.7</v>
      </c>
      <c r="U12" s="15">
        <v>-9388.76</v>
      </c>
      <c r="V12" s="15">
        <v>-8121.62</v>
      </c>
      <c r="W12" s="15">
        <v>-6005.21</v>
      </c>
      <c r="X12" s="15">
        <v>-5200.75</v>
      </c>
      <c r="Y12" s="15">
        <v>-5837.75</v>
      </c>
      <c r="Z12" s="15">
        <v>-6626.11</v>
      </c>
      <c r="AA12" s="15">
        <v>-15377.53</v>
      </c>
      <c r="AB12" s="15">
        <v>-10945.71</v>
      </c>
      <c r="AC12" s="15">
        <v>-7126.27</v>
      </c>
      <c r="AD12" s="15">
        <v>-10302.450000000001</v>
      </c>
      <c r="AE12" s="15">
        <v>-7986.27</v>
      </c>
      <c r="AF12" s="15">
        <v>-9013.52</v>
      </c>
      <c r="AG12" s="15">
        <v>-8618.73</v>
      </c>
      <c r="AH12" s="15">
        <v>-9706.23</v>
      </c>
      <c r="AI12" s="15">
        <v>-8851.09</v>
      </c>
      <c r="AJ12" s="15">
        <f t="shared" si="0"/>
        <v>-61867.44</v>
      </c>
      <c r="AK12" s="15">
        <f t="shared" si="1"/>
        <v>-76494.569999999992</v>
      </c>
      <c r="AL12" s="15">
        <f t="shared" si="2"/>
        <v>-87927.799999999988</v>
      </c>
    </row>
    <row r="13" spans="1:40" x14ac:dyDescent="0.2">
      <c r="A13" s="16" t="s">
        <v>236</v>
      </c>
      <c r="B13" s="16" t="s">
        <v>235</v>
      </c>
      <c r="C13" s="17">
        <f t="shared" ref="C13:AI13" si="4">C11+C12</f>
        <v>770162.98</v>
      </c>
      <c r="D13" s="17">
        <f t="shared" si="4"/>
        <v>920715.7</v>
      </c>
      <c r="E13" s="17">
        <f t="shared" si="4"/>
        <v>808518.92</v>
      </c>
      <c r="F13" s="17">
        <f t="shared" si="4"/>
        <v>971247.1100000001</v>
      </c>
      <c r="G13" s="17">
        <f t="shared" si="4"/>
        <v>1019857.64</v>
      </c>
      <c r="H13" s="17">
        <f t="shared" si="4"/>
        <v>650790.0399999998</v>
      </c>
      <c r="I13" s="17">
        <f t="shared" si="4"/>
        <v>607610.73999999976</v>
      </c>
      <c r="J13" s="17">
        <f t="shared" si="4"/>
        <v>695158.5</v>
      </c>
      <c r="K13" s="17">
        <f t="shared" si="4"/>
        <v>884405.56999999983</v>
      </c>
      <c r="L13" s="17">
        <f t="shared" si="4"/>
        <v>967757.39000000013</v>
      </c>
      <c r="M13" s="17">
        <f t="shared" si="4"/>
        <v>971052.42999999993</v>
      </c>
      <c r="N13" s="17">
        <f t="shared" si="4"/>
        <v>735194.22999999986</v>
      </c>
      <c r="O13" s="17">
        <f t="shared" si="4"/>
        <v>933301.94000000006</v>
      </c>
      <c r="P13" s="17">
        <f t="shared" si="4"/>
        <v>875989.79</v>
      </c>
      <c r="Q13" s="17">
        <f t="shared" si="4"/>
        <v>925538.83000000007</v>
      </c>
      <c r="R13" s="17">
        <f t="shared" si="4"/>
        <v>820218.71000000008</v>
      </c>
      <c r="S13" s="17">
        <f t="shared" si="4"/>
        <v>1114474.6199999999</v>
      </c>
      <c r="T13" s="17">
        <f t="shared" si="4"/>
        <v>885253.3</v>
      </c>
      <c r="U13" s="17">
        <f t="shared" si="4"/>
        <v>966940.28</v>
      </c>
      <c r="V13" s="17">
        <f t="shared" si="4"/>
        <v>1133762.26</v>
      </c>
      <c r="W13" s="17">
        <f t="shared" si="4"/>
        <v>983950.79</v>
      </c>
      <c r="X13" s="17">
        <f t="shared" si="4"/>
        <v>1173332.0699999998</v>
      </c>
      <c r="Y13" s="17">
        <f t="shared" si="4"/>
        <v>1093265.78</v>
      </c>
      <c r="Z13" s="17">
        <f t="shared" si="4"/>
        <v>1015052.89</v>
      </c>
      <c r="AA13" s="17">
        <f t="shared" si="4"/>
        <v>1477929.81</v>
      </c>
      <c r="AB13" s="17">
        <f t="shared" si="4"/>
        <v>1126573.8700000001</v>
      </c>
      <c r="AC13" s="17">
        <f t="shared" si="4"/>
        <v>1202451.97</v>
      </c>
      <c r="AD13" s="17">
        <f t="shared" si="4"/>
        <v>1360600.93</v>
      </c>
      <c r="AE13" s="17">
        <f t="shared" si="4"/>
        <v>1224671.1300000001</v>
      </c>
      <c r="AF13" s="17">
        <f t="shared" si="4"/>
        <v>1142559.21</v>
      </c>
      <c r="AG13" s="17">
        <f t="shared" si="4"/>
        <v>1130743.23</v>
      </c>
      <c r="AH13" s="17">
        <f t="shared" si="4"/>
        <v>1193282.8400000003</v>
      </c>
      <c r="AI13" s="17">
        <f t="shared" si="4"/>
        <v>1119754.4899999998</v>
      </c>
      <c r="AJ13" s="17">
        <f t="shared" si="0"/>
        <v>10002471.25</v>
      </c>
      <c r="AK13" s="17">
        <f t="shared" si="1"/>
        <v>11921081.26</v>
      </c>
      <c r="AL13" s="17">
        <f t="shared" si="2"/>
        <v>10978567.48</v>
      </c>
    </row>
    <row r="14" spans="1:40" x14ac:dyDescent="0.2">
      <c r="A14" t="s">
        <v>518</v>
      </c>
      <c r="B14" s="8" t="s">
        <v>237</v>
      </c>
      <c r="C14" s="15">
        <v>-184665.84</v>
      </c>
      <c r="D14" s="15">
        <v>-193295.91</v>
      </c>
      <c r="E14" s="15">
        <v>-189178.51</v>
      </c>
      <c r="F14" s="15">
        <v>-192140.21</v>
      </c>
      <c r="G14" s="15">
        <v>-209583.72</v>
      </c>
      <c r="H14" s="15">
        <v>-175669.4</v>
      </c>
      <c r="I14" s="15">
        <v>-186308.75</v>
      </c>
      <c r="J14" s="15">
        <v>-198237.28</v>
      </c>
      <c r="K14" s="15">
        <v>-194715.88</v>
      </c>
      <c r="L14" s="15">
        <v>-200562.87</v>
      </c>
      <c r="M14" s="15">
        <v>-186447.4</v>
      </c>
      <c r="N14" s="15">
        <v>-194208.37</v>
      </c>
      <c r="O14" s="15">
        <v>-217523.26</v>
      </c>
      <c r="P14" s="15">
        <v>-189598.76</v>
      </c>
      <c r="Q14" s="15">
        <v>-213934.54</v>
      </c>
      <c r="R14" s="15">
        <v>-200480.19</v>
      </c>
      <c r="S14" s="15">
        <v>-262485.37</v>
      </c>
      <c r="T14" s="15">
        <v>-246148.51</v>
      </c>
      <c r="U14" s="15">
        <v>-274533.12</v>
      </c>
      <c r="V14" s="15">
        <v>-276595.87</v>
      </c>
      <c r="W14" s="15">
        <v>-265937.89</v>
      </c>
      <c r="X14" s="15">
        <v>-274955.86</v>
      </c>
      <c r="Y14" s="15">
        <v>-226633.95</v>
      </c>
      <c r="Z14" s="15">
        <v>-273070.77</v>
      </c>
      <c r="AA14" s="15">
        <v>-305536.52</v>
      </c>
      <c r="AB14" s="15">
        <v>-264113.63</v>
      </c>
      <c r="AC14" s="15">
        <v>-295322.5</v>
      </c>
      <c r="AD14" s="15">
        <v>-281149.44</v>
      </c>
      <c r="AE14" s="15">
        <v>-257540.24</v>
      </c>
      <c r="AF14" s="15">
        <v>-294083.74</v>
      </c>
      <c r="AG14" s="15">
        <v>-301668.59000000003</v>
      </c>
      <c r="AH14" s="15">
        <v>-292708.23</v>
      </c>
      <c r="AI14" s="15">
        <v>-286020.55</v>
      </c>
      <c r="AJ14" s="15">
        <f t="shared" si="0"/>
        <v>-2305014.14</v>
      </c>
      <c r="AK14" s="15">
        <f t="shared" si="1"/>
        <v>-2921898.0900000003</v>
      </c>
      <c r="AL14" s="15">
        <f t="shared" si="2"/>
        <v>-2578143.44</v>
      </c>
    </row>
    <row r="15" spans="1:40" x14ac:dyDescent="0.2">
      <c r="A15" t="s">
        <v>240</v>
      </c>
      <c r="B15" s="8" t="s">
        <v>239</v>
      </c>
      <c r="C15" s="15">
        <v>-293335.48</v>
      </c>
      <c r="D15" s="15">
        <v>-333201.90999999997</v>
      </c>
      <c r="E15" s="15">
        <v>-295964.87</v>
      </c>
      <c r="F15" s="15">
        <v>-373933.87</v>
      </c>
      <c r="G15" s="15">
        <v>-392874.2</v>
      </c>
      <c r="H15" s="15">
        <v>-232476.47</v>
      </c>
      <c r="I15" s="15">
        <v>-209669.54</v>
      </c>
      <c r="J15" s="15">
        <v>-228318.21</v>
      </c>
      <c r="K15" s="15">
        <v>-327203.59999999998</v>
      </c>
      <c r="L15" s="15">
        <v>-381127.7</v>
      </c>
      <c r="M15" s="15">
        <v>-373425.05</v>
      </c>
      <c r="N15" s="15">
        <v>-277633.96999999997</v>
      </c>
      <c r="O15" s="15">
        <v>-334414.74</v>
      </c>
      <c r="P15" s="15">
        <v>-314303.88</v>
      </c>
      <c r="Q15" s="15">
        <v>-333132.75</v>
      </c>
      <c r="R15" s="15">
        <v>-305328.15000000002</v>
      </c>
      <c r="S15" s="15">
        <v>-421390.49</v>
      </c>
      <c r="T15" s="15">
        <v>-313567.03000000003</v>
      </c>
      <c r="U15" s="15">
        <v>-340506.54</v>
      </c>
      <c r="V15" s="15">
        <v>-405551.86</v>
      </c>
      <c r="W15" s="15">
        <v>-326934.78000000003</v>
      </c>
      <c r="X15" s="15">
        <v>-426972.28</v>
      </c>
      <c r="Y15" s="15">
        <v>-434859.06</v>
      </c>
      <c r="Z15" s="15">
        <v>-375548.4</v>
      </c>
      <c r="AA15" s="15">
        <v>-560347.42000000004</v>
      </c>
      <c r="AB15" s="15">
        <v>-416923.86</v>
      </c>
      <c r="AC15" s="15">
        <v>-416408.5</v>
      </c>
      <c r="AD15" s="15">
        <v>-482027.65</v>
      </c>
      <c r="AE15" s="15">
        <v>-467364.96</v>
      </c>
      <c r="AF15" s="15">
        <v>-387410.92</v>
      </c>
      <c r="AG15" s="15">
        <v>-370202.35</v>
      </c>
      <c r="AH15" s="15">
        <v>-422239.01</v>
      </c>
      <c r="AI15" s="15">
        <v>-377243.98</v>
      </c>
      <c r="AJ15" s="15">
        <f t="shared" si="0"/>
        <v>-3719164.87</v>
      </c>
      <c r="AK15" s="15">
        <f t="shared" si="1"/>
        <v>-4332509.96</v>
      </c>
      <c r="AL15" s="15">
        <f t="shared" si="2"/>
        <v>-3900168.65</v>
      </c>
    </row>
    <row r="16" spans="1:40" x14ac:dyDescent="0.2">
      <c r="A16" t="s">
        <v>242</v>
      </c>
      <c r="B16" s="8" t="s">
        <v>241</v>
      </c>
      <c r="C16" s="15">
        <v>-19001.18</v>
      </c>
      <c r="D16" s="15">
        <v>-25231.99</v>
      </c>
      <c r="E16" s="15">
        <v>-21877.97</v>
      </c>
      <c r="F16" s="15">
        <v>-23054.44</v>
      </c>
      <c r="G16" s="15">
        <v>-23723.59</v>
      </c>
      <c r="H16" s="15">
        <v>-14315.13</v>
      </c>
      <c r="I16" s="15">
        <v>-15493.63</v>
      </c>
      <c r="J16" s="15">
        <v>-17347.330000000002</v>
      </c>
      <c r="K16" s="15">
        <v>-24263.19</v>
      </c>
      <c r="L16" s="15">
        <v>-20136.71</v>
      </c>
      <c r="M16" s="15">
        <v>-21273.3</v>
      </c>
      <c r="N16" s="15">
        <v>-19183.82</v>
      </c>
      <c r="O16" s="15">
        <v>-27463.93</v>
      </c>
      <c r="P16" s="15">
        <v>-23067.3</v>
      </c>
      <c r="Q16" s="15">
        <v>-23952.09</v>
      </c>
      <c r="R16" s="15">
        <v>-19269.34</v>
      </c>
      <c r="S16" s="15">
        <v>-25390.7</v>
      </c>
      <c r="T16" s="15">
        <v>-22742.32</v>
      </c>
      <c r="U16" s="15">
        <v>-25635.19</v>
      </c>
      <c r="V16" s="15">
        <v>-30607.72</v>
      </c>
      <c r="W16" s="15">
        <v>-28328.720000000001</v>
      </c>
      <c r="X16" s="15">
        <v>-27421.32</v>
      </c>
      <c r="Y16" s="15">
        <v>-20905.009999999998</v>
      </c>
      <c r="Z16" s="15">
        <v>-27047.79</v>
      </c>
      <c r="AA16" s="15">
        <v>-40205.08</v>
      </c>
      <c r="AB16" s="15">
        <v>-31989.93</v>
      </c>
      <c r="AC16" s="15">
        <v>-34295.56</v>
      </c>
      <c r="AD16" s="15">
        <v>-35082.49</v>
      </c>
      <c r="AE16" s="15">
        <v>-25670.69</v>
      </c>
      <c r="AF16" s="15">
        <v>-30151.59</v>
      </c>
      <c r="AG16" s="15">
        <v>-30673.75</v>
      </c>
      <c r="AH16" s="15">
        <v>-32071.040000000001</v>
      </c>
      <c r="AI16" s="15">
        <v>-30132.79</v>
      </c>
      <c r="AJ16" s="15">
        <f t="shared" si="0"/>
        <v>-244902.28</v>
      </c>
      <c r="AK16" s="15">
        <f t="shared" si="1"/>
        <v>-301831.43</v>
      </c>
      <c r="AL16" s="15">
        <f t="shared" si="2"/>
        <v>-290272.92</v>
      </c>
    </row>
    <row r="17" spans="1:38" x14ac:dyDescent="0.2">
      <c r="A17" t="s">
        <v>244</v>
      </c>
      <c r="B17" s="8" t="s">
        <v>243</v>
      </c>
      <c r="C17" s="15">
        <v>-10636.54</v>
      </c>
      <c r="D17" s="15">
        <v>-14436.04</v>
      </c>
      <c r="E17" s="15">
        <v>-13037.97</v>
      </c>
      <c r="F17" s="15">
        <v>-17280.48</v>
      </c>
      <c r="G17" s="15">
        <v>-8712.2000000000007</v>
      </c>
      <c r="H17" s="15">
        <v>-10328.040000000001</v>
      </c>
      <c r="I17" s="15">
        <v>-6089.55</v>
      </c>
      <c r="J17" s="15">
        <v>-5076.08</v>
      </c>
      <c r="K17" s="15">
        <v>-14997.07</v>
      </c>
      <c r="L17" s="15">
        <v>-8279.17</v>
      </c>
      <c r="M17" s="15">
        <v>-12930.21</v>
      </c>
      <c r="N17" s="15">
        <v>-10563.67</v>
      </c>
      <c r="O17" s="15">
        <v>-11604.39</v>
      </c>
      <c r="P17" s="15">
        <v>-13501.79</v>
      </c>
      <c r="Q17" s="15">
        <v>-11984.87</v>
      </c>
      <c r="R17" s="15">
        <v>-9745.36</v>
      </c>
      <c r="S17" s="15">
        <v>-19672.16</v>
      </c>
      <c r="T17" s="15">
        <v>-15315.44</v>
      </c>
      <c r="U17" s="15">
        <v>-10252.040000000001</v>
      </c>
      <c r="V17" s="15">
        <v>-11636</v>
      </c>
      <c r="W17" s="15">
        <v>-14623.88</v>
      </c>
      <c r="X17" s="15">
        <v>-16300.7</v>
      </c>
      <c r="Y17" s="15">
        <v>-13427.54</v>
      </c>
      <c r="Z17" s="15">
        <v>-16128.47</v>
      </c>
      <c r="AA17" s="15">
        <v>-22299.46</v>
      </c>
      <c r="AB17" s="15">
        <v>-15159.68</v>
      </c>
      <c r="AC17" s="15">
        <v>-11174.66</v>
      </c>
      <c r="AD17" s="15">
        <v>-12871.67</v>
      </c>
      <c r="AE17" s="15">
        <v>-16060.85</v>
      </c>
      <c r="AF17" s="15">
        <v>-11717.72</v>
      </c>
      <c r="AG17" s="15">
        <v>-11469.74</v>
      </c>
      <c r="AH17" s="15">
        <v>-11797.8</v>
      </c>
      <c r="AI17" s="15">
        <v>-17473.099999999999</v>
      </c>
      <c r="AJ17" s="15">
        <f t="shared" si="0"/>
        <v>-132367.02000000002</v>
      </c>
      <c r="AK17" s="15">
        <f t="shared" si="1"/>
        <v>-164192.64000000004</v>
      </c>
      <c r="AL17" s="15">
        <f t="shared" si="2"/>
        <v>-130024.68000000002</v>
      </c>
    </row>
    <row r="18" spans="1:38" x14ac:dyDescent="0.2">
      <c r="A18" t="s">
        <v>246</v>
      </c>
      <c r="B18" s="8" t="s">
        <v>245</v>
      </c>
      <c r="C18" s="15">
        <v>-522.03</v>
      </c>
      <c r="D18" s="15">
        <v>-1923.35</v>
      </c>
      <c r="E18" s="15">
        <v>-516.97</v>
      </c>
      <c r="F18" s="15">
        <v>-466.67</v>
      </c>
      <c r="G18" s="15">
        <v>-528.6</v>
      </c>
      <c r="H18" s="15">
        <v>-44.57</v>
      </c>
      <c r="I18" s="15">
        <v>-1205.22</v>
      </c>
      <c r="J18" s="15">
        <v>-683.08</v>
      </c>
      <c r="K18" s="15">
        <v>-887.68</v>
      </c>
      <c r="L18" s="15">
        <v>-390.72</v>
      </c>
      <c r="M18" s="15">
        <v>0</v>
      </c>
      <c r="N18" s="15">
        <v>-935.89</v>
      </c>
      <c r="O18" s="15">
        <v>-792.55</v>
      </c>
      <c r="P18" s="15">
        <v>-67.599999999999994</v>
      </c>
      <c r="Q18" s="15">
        <v>-733.77</v>
      </c>
      <c r="R18" s="15">
        <v>-255.74</v>
      </c>
      <c r="S18" s="15">
        <v>-2163.0100000000002</v>
      </c>
      <c r="T18" s="15">
        <v>0</v>
      </c>
      <c r="U18" s="15">
        <v>-18.420000000000002</v>
      </c>
      <c r="V18" s="15">
        <v>-1428.25</v>
      </c>
      <c r="W18" s="15">
        <v>-280.70999999999998</v>
      </c>
      <c r="X18" s="15">
        <v>-826.23</v>
      </c>
      <c r="Y18" s="15">
        <v>-504.32</v>
      </c>
      <c r="Z18" s="15">
        <v>-519.24</v>
      </c>
      <c r="AA18" s="15">
        <v>-1237.06</v>
      </c>
      <c r="AB18" s="15">
        <v>-1283.49</v>
      </c>
      <c r="AC18" s="15">
        <v>-516.41</v>
      </c>
      <c r="AD18" s="15">
        <v>-561.99</v>
      </c>
      <c r="AE18" s="15">
        <v>-339.28</v>
      </c>
      <c r="AF18" s="15">
        <v>-258.18</v>
      </c>
      <c r="AG18" s="15">
        <v>-1883.26</v>
      </c>
      <c r="AH18" s="15">
        <v>-2815.51</v>
      </c>
      <c r="AI18" s="15">
        <v>-1731.77</v>
      </c>
      <c r="AJ18" s="15">
        <f t="shared" si="0"/>
        <v>-8104.7800000000016</v>
      </c>
      <c r="AK18" s="15">
        <f t="shared" si="1"/>
        <v>-7589.84</v>
      </c>
      <c r="AL18" s="15">
        <f t="shared" si="2"/>
        <v>-10626.95</v>
      </c>
    </row>
    <row r="19" spans="1:38" x14ac:dyDescent="0.2">
      <c r="A19" t="s">
        <v>519</v>
      </c>
      <c r="B19" s="8" t="s">
        <v>520</v>
      </c>
      <c r="C19" s="15">
        <v>0</v>
      </c>
      <c r="D19" s="15">
        <v>0</v>
      </c>
      <c r="E19" s="15">
        <v>-298.10000000000002</v>
      </c>
      <c r="F19" s="15">
        <v>0</v>
      </c>
      <c r="G19" s="15">
        <v>0</v>
      </c>
      <c r="H19" s="15">
        <v>17.75</v>
      </c>
      <c r="I19" s="15">
        <v>0</v>
      </c>
      <c r="J19" s="15">
        <v>0</v>
      </c>
      <c r="K19" s="15">
        <v>-303.33999999999997</v>
      </c>
      <c r="L19" s="15">
        <v>0</v>
      </c>
      <c r="M19" s="15">
        <v>0</v>
      </c>
      <c r="N19" s="15">
        <v>-186.37</v>
      </c>
      <c r="O19" s="15">
        <v>0</v>
      </c>
      <c r="P19" s="15">
        <v>0</v>
      </c>
      <c r="Q19" s="15">
        <v>-87.29</v>
      </c>
      <c r="R19" s="15">
        <v>0</v>
      </c>
      <c r="S19" s="15">
        <v>0</v>
      </c>
      <c r="T19" s="15">
        <v>-223.77</v>
      </c>
      <c r="U19" s="15">
        <v>0</v>
      </c>
      <c r="V19" s="15">
        <v>0</v>
      </c>
      <c r="W19" s="15">
        <v>-9.74</v>
      </c>
      <c r="X19" s="15">
        <v>0</v>
      </c>
      <c r="Y19" s="15">
        <v>0</v>
      </c>
      <c r="Z19" s="15">
        <v>19.04</v>
      </c>
      <c r="AA19" s="15">
        <v>0</v>
      </c>
      <c r="AB19" s="15">
        <v>0</v>
      </c>
      <c r="AC19" s="15">
        <v>-201.31</v>
      </c>
      <c r="AD19" s="15">
        <v>0</v>
      </c>
      <c r="AE19" s="15">
        <v>0</v>
      </c>
      <c r="AF19" s="15">
        <v>-9.4499999999999993</v>
      </c>
      <c r="AG19" s="15">
        <v>0</v>
      </c>
      <c r="AH19" s="15">
        <v>0</v>
      </c>
      <c r="AI19" s="15">
        <v>-165.51</v>
      </c>
      <c r="AJ19" s="15">
        <f t="shared" si="0"/>
        <v>-770.06000000000006</v>
      </c>
      <c r="AK19" s="15">
        <f t="shared" si="1"/>
        <v>-301.76</v>
      </c>
      <c r="AL19" s="15">
        <f t="shared" si="2"/>
        <v>-376.27</v>
      </c>
    </row>
    <row r="20" spans="1:38" x14ac:dyDescent="0.2">
      <c r="A20" s="16" t="s">
        <v>250</v>
      </c>
      <c r="B20" s="16" t="s">
        <v>249</v>
      </c>
      <c r="C20" s="17">
        <f t="shared" ref="C20:AI20" si="5">C14+C15+C16+C17+C18+C19</f>
        <v>-508161.06999999995</v>
      </c>
      <c r="D20" s="17">
        <f t="shared" si="5"/>
        <v>-568089.19999999995</v>
      </c>
      <c r="E20" s="17">
        <f t="shared" si="5"/>
        <v>-520874.3899999999</v>
      </c>
      <c r="F20" s="17">
        <f t="shared" si="5"/>
        <v>-606875.66999999993</v>
      </c>
      <c r="G20" s="17">
        <f t="shared" si="5"/>
        <v>-635422.30999999994</v>
      </c>
      <c r="H20" s="17">
        <f t="shared" si="5"/>
        <v>-432815.86</v>
      </c>
      <c r="I20" s="17">
        <f t="shared" si="5"/>
        <v>-418766.69</v>
      </c>
      <c r="J20" s="17">
        <f t="shared" si="5"/>
        <v>-449661.98000000004</v>
      </c>
      <c r="K20" s="17">
        <f t="shared" si="5"/>
        <v>-562370.75999999989</v>
      </c>
      <c r="L20" s="17">
        <f t="shared" si="5"/>
        <v>-610497.17000000004</v>
      </c>
      <c r="M20" s="17">
        <f t="shared" si="5"/>
        <v>-594075.96</v>
      </c>
      <c r="N20" s="17">
        <f t="shared" si="5"/>
        <v>-502712.08999999997</v>
      </c>
      <c r="O20" s="17">
        <f t="shared" si="5"/>
        <v>-591798.87000000011</v>
      </c>
      <c r="P20" s="17">
        <f t="shared" si="5"/>
        <v>-540539.33000000007</v>
      </c>
      <c r="Q20" s="17">
        <f t="shared" si="5"/>
        <v>-583825.31000000006</v>
      </c>
      <c r="R20" s="17">
        <f t="shared" si="5"/>
        <v>-535078.78</v>
      </c>
      <c r="S20" s="17">
        <f t="shared" si="5"/>
        <v>-731101.73</v>
      </c>
      <c r="T20" s="17">
        <f t="shared" si="5"/>
        <v>-597997.06999999995</v>
      </c>
      <c r="U20" s="17">
        <f t="shared" si="5"/>
        <v>-650945.30999999994</v>
      </c>
      <c r="V20" s="17">
        <f t="shared" si="5"/>
        <v>-725819.7</v>
      </c>
      <c r="W20" s="17">
        <f t="shared" si="5"/>
        <v>-636115.72</v>
      </c>
      <c r="X20" s="17">
        <f t="shared" si="5"/>
        <v>-746476.3899999999</v>
      </c>
      <c r="Y20" s="17">
        <f t="shared" si="5"/>
        <v>-696329.88</v>
      </c>
      <c r="Z20" s="17">
        <f t="shared" si="5"/>
        <v>-692295.63</v>
      </c>
      <c r="AA20" s="17">
        <f t="shared" si="5"/>
        <v>-929625.54</v>
      </c>
      <c r="AB20" s="17">
        <f t="shared" si="5"/>
        <v>-729470.59000000008</v>
      </c>
      <c r="AC20" s="17">
        <f t="shared" si="5"/>
        <v>-757918.94000000018</v>
      </c>
      <c r="AD20" s="17">
        <f t="shared" si="5"/>
        <v>-811693.24000000011</v>
      </c>
      <c r="AE20" s="17">
        <f t="shared" si="5"/>
        <v>-766976.0199999999</v>
      </c>
      <c r="AF20" s="17">
        <f t="shared" si="5"/>
        <v>-723631.59999999986</v>
      </c>
      <c r="AG20" s="17">
        <f t="shared" si="5"/>
        <v>-715897.69</v>
      </c>
      <c r="AH20" s="17">
        <f t="shared" si="5"/>
        <v>-761631.59000000008</v>
      </c>
      <c r="AI20" s="17">
        <f t="shared" si="5"/>
        <v>-712767.70000000007</v>
      </c>
      <c r="AJ20" s="17">
        <f t="shared" si="0"/>
        <v>-6410323.1499999994</v>
      </c>
      <c r="AK20" s="17">
        <f t="shared" si="1"/>
        <v>-7728323.7199999988</v>
      </c>
      <c r="AL20" s="17">
        <f t="shared" si="2"/>
        <v>-6909612.9100000011</v>
      </c>
    </row>
    <row r="21" spans="1:38" x14ac:dyDescent="0.2">
      <c r="A21" s="16" t="s">
        <v>252</v>
      </c>
      <c r="B21" s="16" t="s">
        <v>251</v>
      </c>
      <c r="C21" s="17">
        <f t="shared" ref="C21:AI21" si="6">C13+C20</f>
        <v>262001.91000000003</v>
      </c>
      <c r="D21" s="17">
        <f t="shared" si="6"/>
        <v>352626.5</v>
      </c>
      <c r="E21" s="17">
        <f t="shared" si="6"/>
        <v>287644.53000000014</v>
      </c>
      <c r="F21" s="17">
        <f t="shared" si="6"/>
        <v>364371.44000000018</v>
      </c>
      <c r="G21" s="17">
        <f t="shared" si="6"/>
        <v>384435.33000000007</v>
      </c>
      <c r="H21" s="17">
        <f t="shared" si="6"/>
        <v>217974.17999999982</v>
      </c>
      <c r="I21" s="17">
        <f t="shared" si="6"/>
        <v>188844.04999999976</v>
      </c>
      <c r="J21" s="17">
        <f t="shared" si="6"/>
        <v>245496.51999999996</v>
      </c>
      <c r="K21" s="17">
        <f t="shared" si="6"/>
        <v>322034.80999999994</v>
      </c>
      <c r="L21" s="17">
        <f t="shared" si="6"/>
        <v>357260.22000000009</v>
      </c>
      <c r="M21" s="17">
        <f t="shared" si="6"/>
        <v>376976.47</v>
      </c>
      <c r="N21" s="17">
        <f t="shared" si="6"/>
        <v>232482.1399999999</v>
      </c>
      <c r="O21" s="17">
        <f t="shared" si="6"/>
        <v>341503.06999999995</v>
      </c>
      <c r="P21" s="17">
        <f t="shared" si="6"/>
        <v>335450.45999999996</v>
      </c>
      <c r="Q21" s="17">
        <f t="shared" si="6"/>
        <v>341713.52</v>
      </c>
      <c r="R21" s="17">
        <f t="shared" si="6"/>
        <v>285139.93000000005</v>
      </c>
      <c r="S21" s="17">
        <f t="shared" si="6"/>
        <v>383372.8899999999</v>
      </c>
      <c r="T21" s="17">
        <f t="shared" si="6"/>
        <v>287256.2300000001</v>
      </c>
      <c r="U21" s="17">
        <f t="shared" si="6"/>
        <v>315994.97000000009</v>
      </c>
      <c r="V21" s="17">
        <f t="shared" si="6"/>
        <v>407942.56000000006</v>
      </c>
      <c r="W21" s="17">
        <f t="shared" si="6"/>
        <v>347835.07000000007</v>
      </c>
      <c r="X21" s="17">
        <f t="shared" si="6"/>
        <v>426855.67999999993</v>
      </c>
      <c r="Y21" s="17">
        <f t="shared" si="6"/>
        <v>396935.9</v>
      </c>
      <c r="Z21" s="17">
        <f t="shared" si="6"/>
        <v>322757.26</v>
      </c>
      <c r="AA21" s="17">
        <f t="shared" si="6"/>
        <v>548304.27</v>
      </c>
      <c r="AB21" s="17">
        <f t="shared" si="6"/>
        <v>397103.28</v>
      </c>
      <c r="AC21" s="17">
        <f t="shared" si="6"/>
        <v>444533.0299999998</v>
      </c>
      <c r="AD21" s="17">
        <f t="shared" si="6"/>
        <v>548907.68999999983</v>
      </c>
      <c r="AE21" s="17">
        <f t="shared" si="6"/>
        <v>457695.11000000022</v>
      </c>
      <c r="AF21" s="17">
        <f t="shared" si="6"/>
        <v>418927.6100000001</v>
      </c>
      <c r="AG21" s="17">
        <f t="shared" si="6"/>
        <v>414845.54000000004</v>
      </c>
      <c r="AH21" s="17">
        <f t="shared" si="6"/>
        <v>431651.25000000023</v>
      </c>
      <c r="AI21" s="17">
        <f t="shared" si="6"/>
        <v>406986.78999999969</v>
      </c>
      <c r="AJ21" s="17">
        <f t="shared" si="0"/>
        <v>3592148.0999999996</v>
      </c>
      <c r="AK21" s="17">
        <f t="shared" si="1"/>
        <v>4192757.54</v>
      </c>
      <c r="AL21" s="17">
        <f t="shared" si="2"/>
        <v>4068954.57</v>
      </c>
    </row>
    <row r="22" spans="1:38" x14ac:dyDescent="0.2">
      <c r="A22" t="s">
        <v>521</v>
      </c>
      <c r="B22" s="8" t="s">
        <v>253</v>
      </c>
      <c r="C22" s="15">
        <v>-100570</v>
      </c>
      <c r="D22" s="15">
        <v>-100570</v>
      </c>
      <c r="E22" s="15">
        <v>-100570</v>
      </c>
      <c r="F22" s="15">
        <v>-100570</v>
      </c>
      <c r="G22" s="15">
        <v>-100570</v>
      </c>
      <c r="H22" s="15">
        <v>-100570</v>
      </c>
      <c r="I22" s="15">
        <v>-100570</v>
      </c>
      <c r="J22" s="15">
        <v>-100570</v>
      </c>
      <c r="K22" s="15">
        <v>-100570</v>
      </c>
      <c r="L22" s="15">
        <v>-100570</v>
      </c>
      <c r="M22" s="15">
        <v>-100570</v>
      </c>
      <c r="N22" s="15">
        <v>-100570</v>
      </c>
      <c r="O22" s="15">
        <v>-109755.77</v>
      </c>
      <c r="P22" s="15">
        <v>-109755.77</v>
      </c>
      <c r="Q22" s="15">
        <v>-109755.77</v>
      </c>
      <c r="R22" s="15">
        <v>-137107.42000000001</v>
      </c>
      <c r="S22" s="15">
        <v>-137107.42000000001</v>
      </c>
      <c r="T22" s="15">
        <v>-137107.42000000001</v>
      </c>
      <c r="U22" s="15">
        <v>-137107.42000000001</v>
      </c>
      <c r="V22" s="15">
        <v>-137107.42000000001</v>
      </c>
      <c r="W22" s="15">
        <v>-137107.42000000001</v>
      </c>
      <c r="X22" s="15">
        <v>-137107.42000000001</v>
      </c>
      <c r="Y22" s="15">
        <v>-137107.42000000001</v>
      </c>
      <c r="Z22" s="15">
        <v>-137107.42000000001</v>
      </c>
      <c r="AA22" s="15">
        <v>-141220.64000000001</v>
      </c>
      <c r="AB22" s="15">
        <v>-141220.64000000001</v>
      </c>
      <c r="AC22" s="15">
        <v>-141220.64000000001</v>
      </c>
      <c r="AD22" s="15">
        <v>-141220.64000000001</v>
      </c>
      <c r="AE22" s="15">
        <v>-141220.64000000001</v>
      </c>
      <c r="AF22" s="15">
        <v>-141220.64000000001</v>
      </c>
      <c r="AG22" s="15">
        <v>-141220.64000000001</v>
      </c>
      <c r="AH22" s="15">
        <v>-141220.64000000001</v>
      </c>
      <c r="AI22" s="15">
        <v>-141220.64000000001</v>
      </c>
      <c r="AJ22" s="15">
        <f t="shared" si="0"/>
        <v>-1206840</v>
      </c>
      <c r="AK22" s="15">
        <f t="shared" si="1"/>
        <v>-1563234.0899999999</v>
      </c>
      <c r="AL22" s="15">
        <f t="shared" si="2"/>
        <v>-1270985.7600000002</v>
      </c>
    </row>
    <row r="23" spans="1:38" x14ac:dyDescent="0.2">
      <c r="A23" t="s">
        <v>522</v>
      </c>
      <c r="B23" s="8" t="s">
        <v>255</v>
      </c>
      <c r="C23" s="15">
        <v>-72843.66</v>
      </c>
      <c r="D23" s="15">
        <v>-73435.17</v>
      </c>
      <c r="E23" s="15">
        <v>-73704.37</v>
      </c>
      <c r="F23" s="15">
        <v>-69047.850000000006</v>
      </c>
      <c r="G23" s="15">
        <v>-68945.94</v>
      </c>
      <c r="H23" s="15">
        <v>-68738.92</v>
      </c>
      <c r="I23" s="15">
        <v>-68827.72</v>
      </c>
      <c r="J23" s="15">
        <v>-69209.81</v>
      </c>
      <c r="K23" s="15">
        <v>-69109.39</v>
      </c>
      <c r="L23" s="15">
        <v>-68862.37</v>
      </c>
      <c r="M23" s="15">
        <v>-72766.649999999994</v>
      </c>
      <c r="N23" s="15">
        <v>-73342.490000000005</v>
      </c>
      <c r="O23" s="15">
        <v>-76061.55</v>
      </c>
      <c r="P23" s="15">
        <v>-100421.52</v>
      </c>
      <c r="Q23" s="15">
        <v>-101076.5</v>
      </c>
      <c r="R23" s="15">
        <v>-95896.46</v>
      </c>
      <c r="S23" s="15">
        <v>-97015.31</v>
      </c>
      <c r="T23" s="15">
        <v>-96692.800000000003</v>
      </c>
      <c r="U23" s="15">
        <v>-96861.42</v>
      </c>
      <c r="V23" s="15">
        <v>-97383.11</v>
      </c>
      <c r="W23" s="15">
        <v>-96937.89</v>
      </c>
      <c r="X23" s="15">
        <v>-96839.25</v>
      </c>
      <c r="Y23" s="15">
        <v>-101975.37</v>
      </c>
      <c r="Z23" s="15">
        <v>-102414.07</v>
      </c>
      <c r="AA23" s="15">
        <v>-105820.42</v>
      </c>
      <c r="AB23" s="15">
        <v>-105174.43</v>
      </c>
      <c r="AC23" s="15">
        <v>-105652.09</v>
      </c>
      <c r="AD23" s="15">
        <v>-99430.34</v>
      </c>
      <c r="AE23" s="15">
        <v>-99612.97</v>
      </c>
      <c r="AF23" s="15">
        <v>-99750.33</v>
      </c>
      <c r="AG23" s="15">
        <v>-99710.23</v>
      </c>
      <c r="AH23" s="15">
        <v>-99587.43</v>
      </c>
      <c r="AI23" s="15">
        <v>-99717.89</v>
      </c>
      <c r="AJ23" s="15">
        <f t="shared" si="0"/>
        <v>-848834.34</v>
      </c>
      <c r="AK23" s="15">
        <f t="shared" si="1"/>
        <v>-1159575.2500000002</v>
      </c>
      <c r="AL23" s="15">
        <f t="shared" si="2"/>
        <v>-914456.12999999977</v>
      </c>
    </row>
    <row r="24" spans="1:38" x14ac:dyDescent="0.2">
      <c r="A24" t="s">
        <v>258</v>
      </c>
      <c r="B24" s="8" t="s">
        <v>257</v>
      </c>
      <c r="C24" s="15">
        <v>-10139.31</v>
      </c>
      <c r="D24" s="15">
        <v>-8940.7800000000007</v>
      </c>
      <c r="E24" s="15">
        <v>-8972.4500000000007</v>
      </c>
      <c r="F24" s="15">
        <v>-10281.34</v>
      </c>
      <c r="G24" s="15">
        <v>-9020.94</v>
      </c>
      <c r="H24" s="15">
        <v>-9624.6</v>
      </c>
      <c r="I24" s="15">
        <v>-9490.67</v>
      </c>
      <c r="J24" s="15">
        <v>-9934.84</v>
      </c>
      <c r="K24" s="15">
        <v>-9218.83</v>
      </c>
      <c r="L24" s="15">
        <v>-8687.15</v>
      </c>
      <c r="M24" s="15">
        <v>-9862.56</v>
      </c>
      <c r="N24" s="15">
        <v>-9694.48</v>
      </c>
      <c r="O24" s="15">
        <v>-9283.52</v>
      </c>
      <c r="P24" s="15">
        <v>-9871.2000000000007</v>
      </c>
      <c r="Q24" s="15">
        <v>-10739.22</v>
      </c>
      <c r="R24" s="15">
        <v>-38866.32</v>
      </c>
      <c r="S24" s="15">
        <v>-32504.94</v>
      </c>
      <c r="T24" s="15">
        <v>-10155.81</v>
      </c>
      <c r="U24" s="15">
        <v>-10676.64</v>
      </c>
      <c r="V24" s="15">
        <v>-10246.799999999999</v>
      </c>
      <c r="W24" s="15">
        <v>-10048.280000000001</v>
      </c>
      <c r="X24" s="15">
        <v>-10536.58</v>
      </c>
      <c r="Y24" s="15">
        <v>-10426.02</v>
      </c>
      <c r="Z24" s="15">
        <v>-10106.620000000001</v>
      </c>
      <c r="AA24" s="15">
        <v>-9467.2800000000007</v>
      </c>
      <c r="AB24" s="15">
        <v>-10332.549999999999</v>
      </c>
      <c r="AC24" s="15">
        <v>-9195.2099999999991</v>
      </c>
      <c r="AD24" s="15">
        <v>-9282.52</v>
      </c>
      <c r="AE24" s="15">
        <v>-9632.08</v>
      </c>
      <c r="AF24" s="15">
        <v>-10935.11</v>
      </c>
      <c r="AG24" s="15">
        <v>-10524.84</v>
      </c>
      <c r="AH24" s="15">
        <v>-9524.83</v>
      </c>
      <c r="AI24" s="15">
        <v>-9402.65</v>
      </c>
      <c r="AJ24" s="15">
        <f t="shared" si="0"/>
        <v>-113867.95</v>
      </c>
      <c r="AK24" s="15">
        <f t="shared" si="1"/>
        <v>-173461.94999999998</v>
      </c>
      <c r="AL24" s="15">
        <f t="shared" si="2"/>
        <v>-88297.069999999992</v>
      </c>
    </row>
    <row r="25" spans="1:38" x14ac:dyDescent="0.2">
      <c r="A25" t="s">
        <v>523</v>
      </c>
      <c r="B25" s="8" t="s">
        <v>259</v>
      </c>
      <c r="C25" s="15">
        <v>-27452.59</v>
      </c>
      <c r="D25" s="15">
        <v>-24646.12</v>
      </c>
      <c r="E25" s="15">
        <v>-23979.55</v>
      </c>
      <c r="F25" s="15">
        <v>-23522.46</v>
      </c>
      <c r="G25" s="15">
        <v>-23745.35</v>
      </c>
      <c r="H25" s="15">
        <v>-23950.880000000001</v>
      </c>
      <c r="I25" s="15">
        <v>-23433.37</v>
      </c>
      <c r="J25" s="15">
        <v>-23866.01</v>
      </c>
      <c r="K25" s="15">
        <v>-24614.13</v>
      </c>
      <c r="L25" s="15">
        <v>-23605.95</v>
      </c>
      <c r="M25" s="15">
        <v>-24585.99</v>
      </c>
      <c r="N25" s="15">
        <v>-24416.1</v>
      </c>
      <c r="O25" s="15">
        <v>-29447.16</v>
      </c>
      <c r="P25" s="15">
        <v>-25999.34</v>
      </c>
      <c r="Q25" s="15">
        <v>-25396.93</v>
      </c>
      <c r="R25" s="15">
        <v>-25421.599999999999</v>
      </c>
      <c r="S25" s="15">
        <v>-28994.880000000001</v>
      </c>
      <c r="T25" s="15">
        <v>-29574.41</v>
      </c>
      <c r="U25" s="15">
        <v>-29629.88</v>
      </c>
      <c r="V25" s="15">
        <v>-29623.03</v>
      </c>
      <c r="W25" s="15">
        <v>-29163.16</v>
      </c>
      <c r="X25" s="15">
        <v>-29484.87</v>
      </c>
      <c r="Y25" s="15">
        <v>-29614.29</v>
      </c>
      <c r="Z25" s="15">
        <v>-28736.880000000001</v>
      </c>
      <c r="AA25" s="15">
        <v>-33477.72</v>
      </c>
      <c r="AB25" s="15">
        <v>-29806.27</v>
      </c>
      <c r="AC25" s="15">
        <v>-30245.15</v>
      </c>
      <c r="AD25" s="15">
        <v>-30735.43</v>
      </c>
      <c r="AE25" s="15">
        <v>-30152.99</v>
      </c>
      <c r="AF25" s="15">
        <v>-30375.37</v>
      </c>
      <c r="AG25" s="15">
        <v>-29841.06</v>
      </c>
      <c r="AH25" s="15">
        <v>-30513.65</v>
      </c>
      <c r="AI25" s="15">
        <v>-29548.44</v>
      </c>
      <c r="AJ25" s="15">
        <f t="shared" si="0"/>
        <v>-291818.5</v>
      </c>
      <c r="AK25" s="15">
        <f t="shared" si="1"/>
        <v>-341086.43</v>
      </c>
      <c r="AL25" s="15">
        <f t="shared" si="2"/>
        <v>-274696.07999999996</v>
      </c>
    </row>
    <row r="26" spans="1:38" x14ac:dyDescent="0.2">
      <c r="A26" t="s">
        <v>524</v>
      </c>
      <c r="B26" s="8" t="s">
        <v>260</v>
      </c>
      <c r="C26" s="15">
        <v>-31810.43</v>
      </c>
      <c r="D26" s="15">
        <v>-32712.36</v>
      </c>
      <c r="E26" s="15">
        <v>-32935.65</v>
      </c>
      <c r="F26" s="15">
        <v>-34119.14</v>
      </c>
      <c r="G26" s="15">
        <v>-35071.660000000003</v>
      </c>
      <c r="H26" s="15">
        <v>-33106.69</v>
      </c>
      <c r="I26" s="15">
        <v>-31995.86</v>
      </c>
      <c r="J26" s="15">
        <v>-32743.54</v>
      </c>
      <c r="K26" s="15">
        <v>-33832.07</v>
      </c>
      <c r="L26" s="15">
        <v>-34551.74</v>
      </c>
      <c r="M26" s="15">
        <v>-35944.58</v>
      </c>
      <c r="N26" s="15">
        <v>-33345.47</v>
      </c>
      <c r="O26" s="15">
        <v>-33656.050000000003</v>
      </c>
      <c r="P26" s="15">
        <v>-35056.660000000003</v>
      </c>
      <c r="Q26" s="15">
        <v>-35882.78</v>
      </c>
      <c r="R26" s="15">
        <v>-36866.71</v>
      </c>
      <c r="S26" s="15">
        <v>-47973.67</v>
      </c>
      <c r="T26" s="15">
        <v>-47532.17</v>
      </c>
      <c r="U26" s="15">
        <v>-45477.98</v>
      </c>
      <c r="V26" s="15">
        <v>-48217.42</v>
      </c>
      <c r="W26" s="15">
        <v>-45487.06</v>
      </c>
      <c r="X26" s="15">
        <v>-48531.54</v>
      </c>
      <c r="Y26" s="15">
        <v>-48546.26</v>
      </c>
      <c r="Z26" s="15">
        <v>-45438.64</v>
      </c>
      <c r="AA26" s="15">
        <v>-48446.41</v>
      </c>
      <c r="AB26" s="15">
        <v>-45107.46</v>
      </c>
      <c r="AC26" s="15">
        <v>-48818.61</v>
      </c>
      <c r="AD26" s="15">
        <v>-52696.72</v>
      </c>
      <c r="AE26" s="15">
        <v>-52560.22</v>
      </c>
      <c r="AF26" s="15">
        <v>-48649.58</v>
      </c>
      <c r="AG26" s="15">
        <v>-49827.24</v>
      </c>
      <c r="AH26" s="15">
        <v>-48717.03</v>
      </c>
      <c r="AI26" s="15">
        <v>-50572.91</v>
      </c>
      <c r="AJ26" s="15">
        <f t="shared" si="0"/>
        <v>-402169.19000000006</v>
      </c>
      <c r="AK26" s="15">
        <f t="shared" si="1"/>
        <v>-518666.93999999994</v>
      </c>
      <c r="AL26" s="15">
        <f t="shared" si="2"/>
        <v>-445396.18000000005</v>
      </c>
    </row>
    <row r="27" spans="1:38" x14ac:dyDescent="0.2">
      <c r="A27" s="16" t="s">
        <v>263</v>
      </c>
      <c r="B27" s="16" t="s">
        <v>262</v>
      </c>
      <c r="C27" s="17">
        <f t="shared" ref="C27:AI27" si="7">C22+C23+C24+C25+C26</f>
        <v>-242815.99</v>
      </c>
      <c r="D27" s="17">
        <f t="shared" si="7"/>
        <v>-240304.43</v>
      </c>
      <c r="E27" s="17">
        <f t="shared" si="7"/>
        <v>-240162.02</v>
      </c>
      <c r="F27" s="17">
        <f t="shared" si="7"/>
        <v>-237540.78999999998</v>
      </c>
      <c r="G27" s="17">
        <f t="shared" si="7"/>
        <v>-237353.89</v>
      </c>
      <c r="H27" s="17">
        <f t="shared" si="7"/>
        <v>-235991.09</v>
      </c>
      <c r="I27" s="17">
        <f t="shared" si="7"/>
        <v>-234317.62</v>
      </c>
      <c r="J27" s="17">
        <f t="shared" si="7"/>
        <v>-236324.2</v>
      </c>
      <c r="K27" s="17">
        <f t="shared" si="7"/>
        <v>-237344.42</v>
      </c>
      <c r="L27" s="17">
        <f t="shared" si="7"/>
        <v>-236277.21</v>
      </c>
      <c r="M27" s="17">
        <f t="shared" si="7"/>
        <v>-243729.77999999997</v>
      </c>
      <c r="N27" s="17">
        <f t="shared" si="7"/>
        <v>-241368.54</v>
      </c>
      <c r="O27" s="17">
        <f t="shared" si="7"/>
        <v>-258204.05</v>
      </c>
      <c r="P27" s="17">
        <f t="shared" si="7"/>
        <v>-281104.49</v>
      </c>
      <c r="Q27" s="17">
        <f t="shared" si="7"/>
        <v>-282851.20000000001</v>
      </c>
      <c r="R27" s="17">
        <f t="shared" si="7"/>
        <v>-334158.51</v>
      </c>
      <c r="S27" s="17">
        <f t="shared" si="7"/>
        <v>-343596.22</v>
      </c>
      <c r="T27" s="17">
        <f t="shared" si="7"/>
        <v>-321062.61</v>
      </c>
      <c r="U27" s="17">
        <f t="shared" si="7"/>
        <v>-319753.34000000003</v>
      </c>
      <c r="V27" s="17">
        <f t="shared" si="7"/>
        <v>-322577.77999999997</v>
      </c>
      <c r="W27" s="17">
        <f t="shared" si="7"/>
        <v>-318743.81</v>
      </c>
      <c r="X27" s="17">
        <f t="shared" si="7"/>
        <v>-322499.65999999997</v>
      </c>
      <c r="Y27" s="17">
        <f t="shared" si="7"/>
        <v>-327669.36</v>
      </c>
      <c r="Z27" s="17">
        <f t="shared" si="7"/>
        <v>-323803.63</v>
      </c>
      <c r="AA27" s="17">
        <f t="shared" si="7"/>
        <v>-338432.47</v>
      </c>
      <c r="AB27" s="17">
        <f t="shared" si="7"/>
        <v>-331641.35000000003</v>
      </c>
      <c r="AC27" s="17">
        <f t="shared" si="7"/>
        <v>-335131.7</v>
      </c>
      <c r="AD27" s="17">
        <f t="shared" si="7"/>
        <v>-333365.65000000002</v>
      </c>
      <c r="AE27" s="17">
        <f t="shared" si="7"/>
        <v>-333178.90000000002</v>
      </c>
      <c r="AF27" s="17">
        <f t="shared" si="7"/>
        <v>-330931.03000000003</v>
      </c>
      <c r="AG27" s="17">
        <f t="shared" si="7"/>
        <v>-331124.01</v>
      </c>
      <c r="AH27" s="17">
        <f t="shared" si="7"/>
        <v>-329563.57999999996</v>
      </c>
      <c r="AI27" s="17">
        <f t="shared" si="7"/>
        <v>-330462.53000000003</v>
      </c>
      <c r="AJ27" s="17">
        <f t="shared" si="0"/>
        <v>-2863529.98</v>
      </c>
      <c r="AK27" s="17">
        <f t="shared" si="1"/>
        <v>-3756024.6599999997</v>
      </c>
      <c r="AL27" s="17">
        <f t="shared" si="2"/>
        <v>-2993831.2199999997</v>
      </c>
    </row>
    <row r="28" spans="1:38" x14ac:dyDescent="0.2">
      <c r="A28" s="16" t="s">
        <v>265</v>
      </c>
      <c r="B28" s="16" t="s">
        <v>264</v>
      </c>
      <c r="C28" s="17">
        <f t="shared" ref="C28:AI28" si="8">C21+C27</f>
        <v>19185.920000000042</v>
      </c>
      <c r="D28" s="17">
        <f t="shared" si="8"/>
        <v>112322.07</v>
      </c>
      <c r="E28" s="17">
        <f t="shared" si="8"/>
        <v>47482.510000000155</v>
      </c>
      <c r="F28" s="17">
        <f t="shared" si="8"/>
        <v>126830.6500000002</v>
      </c>
      <c r="G28" s="17">
        <f t="shared" si="8"/>
        <v>147081.44000000006</v>
      </c>
      <c r="H28" s="17">
        <f t="shared" si="8"/>
        <v>-18016.910000000178</v>
      </c>
      <c r="I28" s="17">
        <f t="shared" si="8"/>
        <v>-45473.57000000024</v>
      </c>
      <c r="J28" s="17">
        <f t="shared" si="8"/>
        <v>9172.3199999999488</v>
      </c>
      <c r="K28" s="17">
        <f t="shared" si="8"/>
        <v>84690.389999999927</v>
      </c>
      <c r="L28" s="17">
        <f t="shared" si="8"/>
        <v>120983.0100000001</v>
      </c>
      <c r="M28" s="17">
        <f t="shared" si="8"/>
        <v>133246.69</v>
      </c>
      <c r="N28" s="17">
        <f t="shared" si="8"/>
        <v>-8886.4000000001106</v>
      </c>
      <c r="O28" s="17">
        <f t="shared" si="8"/>
        <v>83299.01999999996</v>
      </c>
      <c r="P28" s="17">
        <f t="shared" si="8"/>
        <v>54345.969999999972</v>
      </c>
      <c r="Q28" s="17">
        <f t="shared" si="8"/>
        <v>58862.320000000007</v>
      </c>
      <c r="R28" s="17">
        <f t="shared" si="8"/>
        <v>-49018.579999999958</v>
      </c>
      <c r="S28" s="17">
        <f t="shared" si="8"/>
        <v>39776.669999999925</v>
      </c>
      <c r="T28" s="17">
        <f t="shared" si="8"/>
        <v>-33806.379999999888</v>
      </c>
      <c r="U28" s="17">
        <f t="shared" si="8"/>
        <v>-3758.3699999999371</v>
      </c>
      <c r="V28" s="17">
        <f t="shared" si="8"/>
        <v>85364.780000000086</v>
      </c>
      <c r="W28" s="17">
        <f t="shared" si="8"/>
        <v>29091.260000000068</v>
      </c>
      <c r="X28" s="17">
        <f t="shared" si="8"/>
        <v>104356.01999999996</v>
      </c>
      <c r="Y28" s="17">
        <f t="shared" si="8"/>
        <v>69266.540000000037</v>
      </c>
      <c r="Z28" s="17">
        <f t="shared" si="8"/>
        <v>-1046.3699999999953</v>
      </c>
      <c r="AA28" s="17">
        <f t="shared" si="8"/>
        <v>209871.80000000005</v>
      </c>
      <c r="AB28" s="17">
        <f t="shared" si="8"/>
        <v>65461.929999999993</v>
      </c>
      <c r="AC28" s="17">
        <f t="shared" si="8"/>
        <v>109401.32999999978</v>
      </c>
      <c r="AD28" s="17">
        <f t="shared" si="8"/>
        <v>215542.0399999998</v>
      </c>
      <c r="AE28" s="17">
        <f t="shared" si="8"/>
        <v>124516.2100000002</v>
      </c>
      <c r="AF28" s="17">
        <f t="shared" si="8"/>
        <v>87996.580000000075</v>
      </c>
      <c r="AG28" s="17">
        <f t="shared" si="8"/>
        <v>83721.530000000028</v>
      </c>
      <c r="AH28" s="17">
        <f t="shared" si="8"/>
        <v>102087.67000000027</v>
      </c>
      <c r="AI28" s="17">
        <f t="shared" si="8"/>
        <v>76524.25999999966</v>
      </c>
      <c r="AJ28" s="17">
        <f t="shared" si="0"/>
        <v>728618.11999999988</v>
      </c>
      <c r="AK28" s="17">
        <f t="shared" si="1"/>
        <v>436732.88000000024</v>
      </c>
      <c r="AL28" s="17">
        <f t="shared" si="2"/>
        <v>1075123.3499999999</v>
      </c>
    </row>
    <row r="29" spans="1:38" x14ac:dyDescent="0.2">
      <c r="A29" t="s">
        <v>267</v>
      </c>
      <c r="B29" s="8" t="s">
        <v>266</v>
      </c>
      <c r="C29" s="15">
        <v>-15625</v>
      </c>
      <c r="D29" s="15">
        <v>-15625</v>
      </c>
      <c r="E29" s="15">
        <v>-15625</v>
      </c>
      <c r="F29" s="15">
        <v>-15625</v>
      </c>
      <c r="G29" s="15">
        <v>-15625</v>
      </c>
      <c r="H29" s="15">
        <v>-15625</v>
      </c>
      <c r="I29" s="15">
        <v>-15625</v>
      </c>
      <c r="J29" s="15">
        <v>-15625</v>
      </c>
      <c r="K29" s="15">
        <v>-15625</v>
      </c>
      <c r="L29" s="15">
        <v>-16758.330000000002</v>
      </c>
      <c r="M29" s="15">
        <v>-16758.330000000002</v>
      </c>
      <c r="N29" s="15">
        <v>-16758.330000000002</v>
      </c>
      <c r="O29" s="15">
        <v>-16758.330000000002</v>
      </c>
      <c r="P29" s="15">
        <v>-16758.330000000002</v>
      </c>
      <c r="Q29" s="15">
        <v>-16758.330000000002</v>
      </c>
      <c r="R29" s="15">
        <v>-20175</v>
      </c>
      <c r="S29" s="15">
        <v>-23016.67</v>
      </c>
      <c r="T29" s="15">
        <v>-23016.67</v>
      </c>
      <c r="U29" s="15">
        <v>-23016.67</v>
      </c>
      <c r="V29" s="15">
        <v>-23016.67</v>
      </c>
      <c r="W29" s="15">
        <v>-23016.67</v>
      </c>
      <c r="X29" s="15">
        <v>-22016.67</v>
      </c>
      <c r="Y29" s="15">
        <v>-22016.67</v>
      </c>
      <c r="Z29" s="15">
        <v>-22016.67</v>
      </c>
      <c r="AA29" s="15">
        <v>-22016.67</v>
      </c>
      <c r="AB29" s="15">
        <v>-22016.67</v>
      </c>
      <c r="AC29" s="15">
        <v>-22454.17</v>
      </c>
      <c r="AD29" s="15">
        <v>-22454.17</v>
      </c>
      <c r="AE29" s="15">
        <v>-22454.17</v>
      </c>
      <c r="AF29" s="15">
        <v>-23245.84</v>
      </c>
      <c r="AG29" s="15">
        <v>-23245.84</v>
      </c>
      <c r="AH29" s="15">
        <v>-23245.84</v>
      </c>
      <c r="AI29" s="15">
        <v>-23245.84</v>
      </c>
      <c r="AJ29" s="15">
        <f t="shared" si="0"/>
        <v>-190899.99000000005</v>
      </c>
      <c r="AK29" s="15">
        <f t="shared" si="1"/>
        <v>-251583.34999999992</v>
      </c>
      <c r="AL29" s="15">
        <f t="shared" si="2"/>
        <v>-204379.21</v>
      </c>
    </row>
    <row r="30" spans="1:38" x14ac:dyDescent="0.2">
      <c r="A30" s="16" t="s">
        <v>269</v>
      </c>
      <c r="B30" s="16" t="s">
        <v>268</v>
      </c>
      <c r="C30" s="17">
        <f t="shared" ref="C30:AI30" si="9">C28+C29</f>
        <v>3560.9200000000419</v>
      </c>
      <c r="D30" s="17">
        <f t="shared" si="9"/>
        <v>96697.07</v>
      </c>
      <c r="E30" s="17">
        <f t="shared" si="9"/>
        <v>31857.510000000155</v>
      </c>
      <c r="F30" s="17">
        <f t="shared" si="9"/>
        <v>111205.6500000002</v>
      </c>
      <c r="G30" s="17">
        <f t="shared" si="9"/>
        <v>131456.44000000006</v>
      </c>
      <c r="H30" s="17">
        <f t="shared" si="9"/>
        <v>-33641.910000000178</v>
      </c>
      <c r="I30" s="17">
        <f t="shared" si="9"/>
        <v>-61098.57000000024</v>
      </c>
      <c r="J30" s="17">
        <f t="shared" si="9"/>
        <v>-6452.6800000000512</v>
      </c>
      <c r="K30" s="17">
        <f t="shared" si="9"/>
        <v>69065.389999999927</v>
      </c>
      <c r="L30" s="17">
        <f t="shared" si="9"/>
        <v>104224.68000000009</v>
      </c>
      <c r="M30" s="17">
        <f t="shared" si="9"/>
        <v>116488.36</v>
      </c>
      <c r="N30" s="17">
        <f t="shared" si="9"/>
        <v>-25644.730000000112</v>
      </c>
      <c r="O30" s="17">
        <f t="shared" si="9"/>
        <v>66540.689999999959</v>
      </c>
      <c r="P30" s="17">
        <f t="shared" si="9"/>
        <v>37587.63999999997</v>
      </c>
      <c r="Q30" s="17">
        <f t="shared" si="9"/>
        <v>42103.990000000005</v>
      </c>
      <c r="R30" s="17">
        <f t="shared" si="9"/>
        <v>-69193.579999999958</v>
      </c>
      <c r="S30" s="17">
        <f t="shared" si="9"/>
        <v>16759.999999999927</v>
      </c>
      <c r="T30" s="17">
        <f t="shared" si="9"/>
        <v>-56823.049999999886</v>
      </c>
      <c r="U30" s="17">
        <f t="shared" si="9"/>
        <v>-26775.039999999935</v>
      </c>
      <c r="V30" s="17">
        <f t="shared" si="9"/>
        <v>62348.110000000088</v>
      </c>
      <c r="W30" s="17">
        <f t="shared" si="9"/>
        <v>6074.5900000000693</v>
      </c>
      <c r="X30" s="17">
        <f t="shared" si="9"/>
        <v>82339.349999999962</v>
      </c>
      <c r="Y30" s="17">
        <f t="shared" si="9"/>
        <v>47249.870000000039</v>
      </c>
      <c r="Z30" s="17">
        <f t="shared" si="9"/>
        <v>-23063.039999999994</v>
      </c>
      <c r="AA30" s="17">
        <f t="shared" si="9"/>
        <v>187855.13000000006</v>
      </c>
      <c r="AB30" s="17">
        <f t="shared" si="9"/>
        <v>43445.259999999995</v>
      </c>
      <c r="AC30" s="17">
        <f t="shared" si="9"/>
        <v>86947.159999999785</v>
      </c>
      <c r="AD30" s="17">
        <f t="shared" si="9"/>
        <v>193087.86999999982</v>
      </c>
      <c r="AE30" s="17">
        <f t="shared" si="9"/>
        <v>102062.0400000002</v>
      </c>
      <c r="AF30" s="17">
        <f t="shared" si="9"/>
        <v>64750.740000000078</v>
      </c>
      <c r="AG30" s="17">
        <f t="shared" si="9"/>
        <v>60475.690000000031</v>
      </c>
      <c r="AH30" s="17">
        <f t="shared" si="9"/>
        <v>78841.830000000278</v>
      </c>
      <c r="AI30" s="17">
        <f t="shared" si="9"/>
        <v>53278.419999999664</v>
      </c>
      <c r="AJ30" s="17">
        <f t="shared" si="0"/>
        <v>537718.13</v>
      </c>
      <c r="AK30" s="17">
        <f t="shared" si="1"/>
        <v>185149.53000000026</v>
      </c>
      <c r="AL30" s="17">
        <f t="shared" si="2"/>
        <v>870744.14</v>
      </c>
    </row>
    <row r="31" spans="1:38" x14ac:dyDescent="0.2">
      <c r="A31" t="s">
        <v>271</v>
      </c>
      <c r="B31" s="8" t="s">
        <v>270</v>
      </c>
      <c r="C31" s="15">
        <v>-3220</v>
      </c>
      <c r="D31" s="15">
        <v>-3152.92</v>
      </c>
      <c r="E31" s="15">
        <v>-3085.83</v>
      </c>
      <c r="F31" s="15">
        <v>-3018.75</v>
      </c>
      <c r="G31" s="15">
        <v>-2951.67</v>
      </c>
      <c r="H31" s="15">
        <v>-2806.2</v>
      </c>
      <c r="I31" s="15">
        <v>-2664.38</v>
      </c>
      <c r="J31" s="15">
        <v>-2600.94</v>
      </c>
      <c r="K31" s="15">
        <v>-2464.58</v>
      </c>
      <c r="L31" s="15">
        <v>-2260.7800000000002</v>
      </c>
      <c r="M31" s="15">
        <v>-2202.81</v>
      </c>
      <c r="N31" s="15">
        <v>-2009.95</v>
      </c>
      <c r="O31" s="15">
        <v>-1890</v>
      </c>
      <c r="P31" s="15">
        <v>-1837.5</v>
      </c>
      <c r="Q31" s="15">
        <v>-4423.0200000000004</v>
      </c>
      <c r="R31" s="15">
        <v>-4372.34</v>
      </c>
      <c r="S31" s="15">
        <v>-4276.67</v>
      </c>
      <c r="T31" s="15">
        <v>-4180.99</v>
      </c>
      <c r="U31" s="15">
        <v>-4085.31</v>
      </c>
      <c r="V31" s="15">
        <v>-3989.64</v>
      </c>
      <c r="W31" s="15">
        <v>-3756.98</v>
      </c>
      <c r="X31" s="15">
        <v>-3531.09</v>
      </c>
      <c r="Y31" s="15">
        <v>-3442.19</v>
      </c>
      <c r="Z31" s="15">
        <v>-3353.28</v>
      </c>
      <c r="AA31" s="15">
        <v>-3264.38</v>
      </c>
      <c r="AB31" s="15">
        <v>-3175.47</v>
      </c>
      <c r="AC31" s="15">
        <v>-3086.57</v>
      </c>
      <c r="AD31" s="15">
        <v>-2997.66</v>
      </c>
      <c r="AE31" s="15">
        <v>-2908.76</v>
      </c>
      <c r="AF31" s="15">
        <v>-2819.84</v>
      </c>
      <c r="AG31" s="15">
        <v>-2730.94</v>
      </c>
      <c r="AH31" s="15">
        <v>-2642.03</v>
      </c>
      <c r="AI31" s="15">
        <v>-2553.13</v>
      </c>
      <c r="AJ31" s="15">
        <f t="shared" si="0"/>
        <v>-32438.809999999998</v>
      </c>
      <c r="AK31" s="15">
        <f t="shared" si="1"/>
        <v>-43139.009999999995</v>
      </c>
      <c r="AL31" s="15">
        <f t="shared" si="2"/>
        <v>-26178.78</v>
      </c>
    </row>
    <row r="32" spans="1:38" x14ac:dyDescent="0.2">
      <c r="A32" s="16" t="s">
        <v>273</v>
      </c>
      <c r="B32" s="16" t="s">
        <v>272</v>
      </c>
      <c r="C32" s="17">
        <f t="shared" ref="C32:AI32" si="10">C30+C31</f>
        <v>340.92000000004191</v>
      </c>
      <c r="D32" s="17">
        <f t="shared" si="10"/>
        <v>93544.150000000009</v>
      </c>
      <c r="E32" s="17">
        <f t="shared" si="10"/>
        <v>28771.680000000153</v>
      </c>
      <c r="F32" s="17">
        <f t="shared" si="10"/>
        <v>108186.9000000002</v>
      </c>
      <c r="G32" s="17">
        <f t="shared" si="10"/>
        <v>128504.77000000006</v>
      </c>
      <c r="H32" s="17">
        <f t="shared" si="10"/>
        <v>-36448.110000000175</v>
      </c>
      <c r="I32" s="17">
        <f t="shared" si="10"/>
        <v>-63762.950000000237</v>
      </c>
      <c r="J32" s="17">
        <f t="shared" si="10"/>
        <v>-9053.6200000000517</v>
      </c>
      <c r="K32" s="17">
        <f t="shared" si="10"/>
        <v>66600.809999999925</v>
      </c>
      <c r="L32" s="17">
        <f t="shared" si="10"/>
        <v>101963.9000000001</v>
      </c>
      <c r="M32" s="17">
        <f t="shared" si="10"/>
        <v>114285.55</v>
      </c>
      <c r="N32" s="17">
        <f t="shared" si="10"/>
        <v>-27654.680000000113</v>
      </c>
      <c r="O32" s="17">
        <f t="shared" si="10"/>
        <v>64650.689999999959</v>
      </c>
      <c r="P32" s="17">
        <f t="shared" si="10"/>
        <v>35750.13999999997</v>
      </c>
      <c r="Q32" s="17">
        <f t="shared" si="10"/>
        <v>37680.97</v>
      </c>
      <c r="R32" s="17">
        <f t="shared" si="10"/>
        <v>-73565.919999999955</v>
      </c>
      <c r="S32" s="17">
        <f t="shared" si="10"/>
        <v>12483.329999999927</v>
      </c>
      <c r="T32" s="17">
        <f t="shared" si="10"/>
        <v>-61004.039999999884</v>
      </c>
      <c r="U32" s="17">
        <f t="shared" si="10"/>
        <v>-30860.349999999937</v>
      </c>
      <c r="V32" s="17">
        <f t="shared" si="10"/>
        <v>58358.470000000088</v>
      </c>
      <c r="W32" s="17">
        <f t="shared" si="10"/>
        <v>2317.6100000000692</v>
      </c>
      <c r="X32" s="17">
        <f t="shared" si="10"/>
        <v>78808.259999999966</v>
      </c>
      <c r="Y32" s="17">
        <f t="shared" si="10"/>
        <v>43807.680000000037</v>
      </c>
      <c r="Z32" s="17">
        <f t="shared" si="10"/>
        <v>-26416.319999999992</v>
      </c>
      <c r="AA32" s="17">
        <f t="shared" si="10"/>
        <v>184590.75000000006</v>
      </c>
      <c r="AB32" s="17">
        <f t="shared" si="10"/>
        <v>40269.789999999994</v>
      </c>
      <c r="AC32" s="17">
        <f t="shared" si="10"/>
        <v>83860.589999999778</v>
      </c>
      <c r="AD32" s="17">
        <f t="shared" si="10"/>
        <v>190090.20999999982</v>
      </c>
      <c r="AE32" s="17">
        <f t="shared" si="10"/>
        <v>99153.280000000203</v>
      </c>
      <c r="AF32" s="17">
        <f t="shared" si="10"/>
        <v>61930.900000000081</v>
      </c>
      <c r="AG32" s="17">
        <f t="shared" si="10"/>
        <v>57744.750000000029</v>
      </c>
      <c r="AH32" s="17">
        <f t="shared" si="10"/>
        <v>76199.800000000279</v>
      </c>
      <c r="AI32" s="17">
        <f t="shared" si="10"/>
        <v>50725.289999999666</v>
      </c>
      <c r="AJ32" s="17">
        <f t="shared" si="0"/>
        <v>505279.31999999989</v>
      </c>
      <c r="AK32" s="17">
        <f t="shared" si="1"/>
        <v>142010.52000000025</v>
      </c>
      <c r="AL32" s="17">
        <f t="shared" si="2"/>
        <v>844565.36</v>
      </c>
    </row>
    <row r="33" spans="1:38" x14ac:dyDescent="0.2">
      <c r="A33" t="s">
        <v>275</v>
      </c>
      <c r="B33" s="8" t="s">
        <v>274</v>
      </c>
      <c r="C33" s="15">
        <v>-37.5</v>
      </c>
      <c r="D33" s="15">
        <v>-10289.86</v>
      </c>
      <c r="E33" s="15">
        <v>-3164.88</v>
      </c>
      <c r="F33" s="15">
        <v>-11900.56</v>
      </c>
      <c r="G33" s="15">
        <v>-14135.53</v>
      </c>
      <c r="H33" s="15">
        <v>4009.3</v>
      </c>
      <c r="I33" s="15">
        <v>7013.92</v>
      </c>
      <c r="J33" s="15">
        <v>995.9</v>
      </c>
      <c r="K33" s="15">
        <v>-7326.09</v>
      </c>
      <c r="L33" s="15">
        <v>-11216.03</v>
      </c>
      <c r="M33" s="15">
        <v>-16523.490000000002</v>
      </c>
      <c r="N33" s="15">
        <v>6360.58</v>
      </c>
      <c r="O33" s="15">
        <v>-7111.58</v>
      </c>
      <c r="P33" s="15">
        <v>-3932.51</v>
      </c>
      <c r="Q33" s="15">
        <v>-4144.91</v>
      </c>
      <c r="R33" s="15">
        <v>8092.25</v>
      </c>
      <c r="S33" s="15">
        <v>-1373.16</v>
      </c>
      <c r="T33" s="15">
        <v>6710.44</v>
      </c>
      <c r="U33" s="15">
        <v>1759.47</v>
      </c>
      <c r="V33" s="15">
        <v>-4784.26</v>
      </c>
      <c r="W33" s="15">
        <v>-254.94</v>
      </c>
      <c r="X33" s="15">
        <v>-8668.91</v>
      </c>
      <c r="Y33" s="15">
        <v>-4818.84</v>
      </c>
      <c r="Z33" s="15">
        <v>2905.79</v>
      </c>
      <c r="AA33" s="15">
        <v>-20304.98</v>
      </c>
      <c r="AB33" s="15">
        <v>-4429.68</v>
      </c>
      <c r="AC33" s="15">
        <v>-9224.66</v>
      </c>
      <c r="AD33" s="15">
        <v>-20909.93</v>
      </c>
      <c r="AE33" s="15">
        <v>-22662.61</v>
      </c>
      <c r="AF33" s="15">
        <v>-14244.11</v>
      </c>
      <c r="AG33" s="15">
        <v>-13281.29</v>
      </c>
      <c r="AH33" s="15">
        <v>-17525.96</v>
      </c>
      <c r="AI33" s="15">
        <v>-11666.81</v>
      </c>
      <c r="AJ33" s="15">
        <f t="shared" si="0"/>
        <v>-56214.240000000005</v>
      </c>
      <c r="AK33" s="15">
        <f t="shared" si="1"/>
        <v>-15621.16</v>
      </c>
      <c r="AL33" s="15">
        <f t="shared" si="2"/>
        <v>-134250.03</v>
      </c>
    </row>
    <row r="34" spans="1:38" x14ac:dyDescent="0.2">
      <c r="A34" s="16" t="s">
        <v>277</v>
      </c>
      <c r="B34" s="16" t="s">
        <v>276</v>
      </c>
      <c r="C34" s="17">
        <f t="shared" ref="C34:AI34" si="11">C32+C33</f>
        <v>303.42000000004191</v>
      </c>
      <c r="D34" s="17">
        <f t="shared" si="11"/>
        <v>83254.290000000008</v>
      </c>
      <c r="E34" s="17">
        <f t="shared" si="11"/>
        <v>25606.800000000152</v>
      </c>
      <c r="F34" s="17">
        <f t="shared" si="11"/>
        <v>96286.3400000002</v>
      </c>
      <c r="G34" s="17">
        <f t="shared" si="11"/>
        <v>114369.24000000006</v>
      </c>
      <c r="H34" s="17">
        <f t="shared" si="11"/>
        <v>-32438.810000000176</v>
      </c>
      <c r="I34" s="17">
        <f t="shared" si="11"/>
        <v>-56749.030000000239</v>
      </c>
      <c r="J34" s="17">
        <f t="shared" si="11"/>
        <v>-8057.7200000000521</v>
      </c>
      <c r="K34" s="17">
        <f t="shared" si="11"/>
        <v>59274.719999999928</v>
      </c>
      <c r="L34" s="17">
        <f t="shared" si="11"/>
        <v>90747.870000000097</v>
      </c>
      <c r="M34" s="17">
        <f t="shared" si="11"/>
        <v>97762.06</v>
      </c>
      <c r="N34" s="17">
        <f t="shared" si="11"/>
        <v>-21294.100000000115</v>
      </c>
      <c r="O34" s="17">
        <f t="shared" si="11"/>
        <v>57539.109999999957</v>
      </c>
      <c r="P34" s="17">
        <f t="shared" si="11"/>
        <v>31817.629999999968</v>
      </c>
      <c r="Q34" s="17">
        <f t="shared" si="11"/>
        <v>33536.06</v>
      </c>
      <c r="R34" s="17">
        <f t="shared" si="11"/>
        <v>-65473.669999999955</v>
      </c>
      <c r="S34" s="17">
        <f t="shared" si="11"/>
        <v>11110.169999999927</v>
      </c>
      <c r="T34" s="17">
        <f t="shared" si="11"/>
        <v>-54293.599999999882</v>
      </c>
      <c r="U34" s="17">
        <f t="shared" si="11"/>
        <v>-29100.879999999936</v>
      </c>
      <c r="V34" s="17">
        <f t="shared" si="11"/>
        <v>53574.210000000086</v>
      </c>
      <c r="W34" s="17">
        <f t="shared" si="11"/>
        <v>2062.6700000000692</v>
      </c>
      <c r="X34" s="17">
        <f t="shared" si="11"/>
        <v>70139.349999999962</v>
      </c>
      <c r="Y34" s="17">
        <f t="shared" si="11"/>
        <v>38988.84000000004</v>
      </c>
      <c r="Z34" s="17">
        <f t="shared" si="11"/>
        <v>-23510.529999999992</v>
      </c>
      <c r="AA34" s="17">
        <f t="shared" si="11"/>
        <v>164285.77000000005</v>
      </c>
      <c r="AB34" s="17">
        <f t="shared" si="11"/>
        <v>35840.109999999993</v>
      </c>
      <c r="AC34" s="17">
        <f t="shared" si="11"/>
        <v>74635.929999999775</v>
      </c>
      <c r="AD34" s="17">
        <f t="shared" si="11"/>
        <v>169180.27999999982</v>
      </c>
      <c r="AE34" s="17">
        <f t="shared" si="11"/>
        <v>76490.670000000202</v>
      </c>
      <c r="AF34" s="17">
        <f t="shared" si="11"/>
        <v>47686.790000000081</v>
      </c>
      <c r="AG34" s="17">
        <f t="shared" si="11"/>
        <v>44463.460000000028</v>
      </c>
      <c r="AH34" s="17">
        <f t="shared" si="11"/>
        <v>58673.84000000028</v>
      </c>
      <c r="AI34" s="17">
        <f t="shared" si="11"/>
        <v>39058.479999999669</v>
      </c>
      <c r="AJ34" s="17">
        <f t="shared" si="0"/>
        <v>449065.0799999999</v>
      </c>
      <c r="AK34" s="17">
        <f t="shared" si="1"/>
        <v>126389.36000000025</v>
      </c>
      <c r="AL34" s="17">
        <f t="shared" si="2"/>
        <v>710315.33</v>
      </c>
    </row>
  </sheetData>
  <mergeCells count="1">
    <mergeCell ref="A1:A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3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19" x14ac:dyDescent="0.25">
      <c r="A2" s="1" t="s">
        <v>525</v>
      </c>
    </row>
    <row r="3" spans="1:40" x14ac:dyDescent="0.2">
      <c r="A3" s="2" t="s">
        <v>481</v>
      </c>
    </row>
    <row r="5" spans="1:40" ht="32" x14ac:dyDescent="0.2">
      <c r="A5" s="6" t="s">
        <v>153</v>
      </c>
      <c r="B5" s="7" t="s">
        <v>28</v>
      </c>
      <c r="C5" s="7" t="s">
        <v>482</v>
      </c>
      <c r="D5" s="7" t="s">
        <v>483</v>
      </c>
      <c r="E5" s="7" t="s">
        <v>484</v>
      </c>
      <c r="F5" s="7" t="s">
        <v>485</v>
      </c>
      <c r="G5" s="7" t="s">
        <v>486</v>
      </c>
      <c r="H5" s="7" t="s">
        <v>487</v>
      </c>
      <c r="I5" s="7" t="s">
        <v>488</v>
      </c>
      <c r="J5" s="7" t="s">
        <v>489</v>
      </c>
      <c r="K5" s="7" t="s">
        <v>490</v>
      </c>
      <c r="L5" s="7" t="s">
        <v>491</v>
      </c>
      <c r="M5" s="7" t="s">
        <v>492</v>
      </c>
      <c r="N5" s="7" t="s">
        <v>493</v>
      </c>
      <c r="O5" s="7" t="s">
        <v>494</v>
      </c>
      <c r="P5" s="7" t="s">
        <v>495</v>
      </c>
      <c r="Q5" s="7" t="s">
        <v>496</v>
      </c>
      <c r="R5" s="7" t="s">
        <v>497</v>
      </c>
      <c r="S5" s="7" t="s">
        <v>498</v>
      </c>
      <c r="T5" s="7" t="s">
        <v>499</v>
      </c>
      <c r="U5" s="7" t="s">
        <v>500</v>
      </c>
      <c r="V5" s="7" t="s">
        <v>501</v>
      </c>
      <c r="W5" s="7" t="s">
        <v>502</v>
      </c>
      <c r="X5" s="7" t="s">
        <v>503</v>
      </c>
      <c r="Y5" s="7" t="s">
        <v>504</v>
      </c>
      <c r="Z5" s="7" t="s">
        <v>505</v>
      </c>
      <c r="AA5" s="7" t="s">
        <v>506</v>
      </c>
      <c r="AB5" s="7" t="s">
        <v>507</v>
      </c>
      <c r="AC5" s="7" t="s">
        <v>508</v>
      </c>
      <c r="AD5" s="7" t="s">
        <v>509</v>
      </c>
      <c r="AE5" s="7" t="s">
        <v>510</v>
      </c>
      <c r="AF5" s="7" t="s">
        <v>511</v>
      </c>
      <c r="AG5" s="7" t="s">
        <v>512</v>
      </c>
      <c r="AH5" s="7" t="s">
        <v>513</v>
      </c>
      <c r="AI5" s="7" t="s">
        <v>514</v>
      </c>
      <c r="AJ5" s="7" t="s">
        <v>515</v>
      </c>
      <c r="AK5" s="7" t="s">
        <v>516</v>
      </c>
      <c r="AL5" s="7" t="s">
        <v>517</v>
      </c>
    </row>
    <row r="6" spans="1:40" x14ac:dyDescent="0.2">
      <c r="A6" t="s">
        <v>280</v>
      </c>
      <c r="B6" s="8" t="s">
        <v>279</v>
      </c>
      <c r="C6" s="15">
        <v>393720.32000000001</v>
      </c>
      <c r="D6" s="15">
        <v>372419.59</v>
      </c>
      <c r="E6" s="15">
        <v>460110.57</v>
      </c>
      <c r="F6" s="15">
        <v>615172.88</v>
      </c>
      <c r="G6" s="15">
        <v>789119.67</v>
      </c>
      <c r="H6" s="15">
        <v>878504.97</v>
      </c>
      <c r="I6" s="15">
        <v>816261.3</v>
      </c>
      <c r="J6" s="15">
        <v>739018.59</v>
      </c>
      <c r="K6" s="15">
        <v>540268.22</v>
      </c>
      <c r="L6" s="15">
        <v>903226.19</v>
      </c>
      <c r="M6" s="15">
        <v>1083658.78</v>
      </c>
      <c r="N6" s="15">
        <v>846954.72</v>
      </c>
      <c r="O6" s="15">
        <v>691324.08</v>
      </c>
      <c r="P6" s="15">
        <v>729463.65</v>
      </c>
      <c r="Q6" s="15">
        <v>772353.79</v>
      </c>
      <c r="R6" s="15">
        <v>602823.51</v>
      </c>
      <c r="S6" s="15">
        <v>661000.43000000005</v>
      </c>
      <c r="T6" s="15">
        <v>628697.79</v>
      </c>
      <c r="U6" s="15">
        <v>433184.42</v>
      </c>
      <c r="V6" s="15">
        <v>517582.44</v>
      </c>
      <c r="W6" s="15">
        <v>493927.6</v>
      </c>
      <c r="X6" s="15">
        <v>683095.21</v>
      </c>
      <c r="Y6" s="15">
        <v>864574.46</v>
      </c>
      <c r="Z6" s="15">
        <v>643396.37</v>
      </c>
      <c r="AA6" s="15">
        <v>510492.61</v>
      </c>
      <c r="AB6" s="15">
        <v>633407.78</v>
      </c>
      <c r="AC6" s="15">
        <v>930312.83</v>
      </c>
      <c r="AD6" s="15">
        <v>1079663.6499999999</v>
      </c>
      <c r="AE6" s="15">
        <v>1191103.76</v>
      </c>
      <c r="AF6" s="15">
        <v>1342769.35</v>
      </c>
      <c r="AG6" s="15">
        <v>1129345.97</v>
      </c>
      <c r="AH6" s="15">
        <v>1300367.5</v>
      </c>
      <c r="AI6" s="15">
        <v>1390234</v>
      </c>
      <c r="AJ6" s="15">
        <f t="shared" ref="AJ6:AJ33" si="0">N6</f>
        <v>846954.72</v>
      </c>
      <c r="AK6" s="15">
        <f t="shared" ref="AK6:AK33" si="1">Z6</f>
        <v>643396.37</v>
      </c>
      <c r="AL6" s="15">
        <f t="shared" ref="AL6:AL33" si="2">AI6</f>
        <v>1390234</v>
      </c>
    </row>
    <row r="7" spans="1:40" x14ac:dyDescent="0.2">
      <c r="A7" t="s">
        <v>526</v>
      </c>
      <c r="B7" s="8" t="s">
        <v>281</v>
      </c>
      <c r="C7" s="15">
        <v>433861.48</v>
      </c>
      <c r="D7" s="15">
        <v>603581.30000000005</v>
      </c>
      <c r="E7" s="15">
        <v>505108.03</v>
      </c>
      <c r="F7" s="15">
        <v>496841.21</v>
      </c>
      <c r="G7" s="15">
        <v>504740</v>
      </c>
      <c r="H7" s="15">
        <v>344074.43</v>
      </c>
      <c r="I7" s="15">
        <v>271127.44</v>
      </c>
      <c r="J7" s="15">
        <v>358310.92</v>
      </c>
      <c r="K7" s="15">
        <v>622300.62</v>
      </c>
      <c r="L7" s="15">
        <v>417249.48</v>
      </c>
      <c r="M7" s="15">
        <v>428467.66</v>
      </c>
      <c r="N7" s="15">
        <v>363070.71</v>
      </c>
      <c r="O7" s="15">
        <v>519555.24</v>
      </c>
      <c r="P7" s="15">
        <v>579289.91</v>
      </c>
      <c r="Q7" s="15">
        <v>590551.85</v>
      </c>
      <c r="R7" s="15">
        <v>411207.64</v>
      </c>
      <c r="S7" s="15">
        <v>501139.62</v>
      </c>
      <c r="T7" s="15">
        <v>410705.57</v>
      </c>
      <c r="U7" s="15">
        <v>547488.23</v>
      </c>
      <c r="V7" s="15">
        <v>616272.19999999995</v>
      </c>
      <c r="W7" s="15">
        <v>633976.18999999994</v>
      </c>
      <c r="X7" s="15">
        <v>585491.41</v>
      </c>
      <c r="Y7" s="15">
        <v>502017.27</v>
      </c>
      <c r="Z7" s="15">
        <v>515688.02</v>
      </c>
      <c r="AA7" s="15">
        <v>830843.66</v>
      </c>
      <c r="AB7" s="15">
        <v>720229.64</v>
      </c>
      <c r="AC7" s="15">
        <v>545393.94999999995</v>
      </c>
      <c r="AD7" s="15">
        <v>623573.87</v>
      </c>
      <c r="AE7" s="15">
        <v>532091.1</v>
      </c>
      <c r="AF7" s="15">
        <v>468813.23</v>
      </c>
      <c r="AG7" s="15">
        <v>661457.69999999995</v>
      </c>
      <c r="AH7" s="15">
        <v>647790.93000000005</v>
      </c>
      <c r="AI7" s="15">
        <v>573560.54</v>
      </c>
      <c r="AJ7" s="15">
        <f t="shared" si="0"/>
        <v>363070.71</v>
      </c>
      <c r="AK7" s="15">
        <f t="shared" si="1"/>
        <v>515688.02</v>
      </c>
      <c r="AL7" s="15">
        <f t="shared" si="2"/>
        <v>573560.54</v>
      </c>
    </row>
    <row r="8" spans="1:40" x14ac:dyDescent="0.2">
      <c r="A8" t="s">
        <v>284</v>
      </c>
      <c r="B8" s="8" t="s">
        <v>283</v>
      </c>
      <c r="C8" s="15">
        <v>76816.100000000006</v>
      </c>
      <c r="D8" s="15">
        <v>53225.68</v>
      </c>
      <c r="E8" s="15">
        <v>35753.46</v>
      </c>
      <c r="F8" s="15">
        <v>76769.759999999995</v>
      </c>
      <c r="G8" s="15">
        <v>71033.009999999995</v>
      </c>
      <c r="H8" s="15">
        <v>30226.43</v>
      </c>
      <c r="I8" s="15">
        <v>61692.04</v>
      </c>
      <c r="J8" s="15">
        <v>62229.64</v>
      </c>
      <c r="K8" s="15">
        <v>31874.83</v>
      </c>
      <c r="L8" s="15">
        <v>62115.75</v>
      </c>
      <c r="M8" s="15">
        <v>67818.77</v>
      </c>
      <c r="N8" s="15">
        <v>51204.67</v>
      </c>
      <c r="O8" s="15">
        <v>61775.66</v>
      </c>
      <c r="P8" s="15">
        <v>71892</v>
      </c>
      <c r="Q8" s="15">
        <v>54330.92</v>
      </c>
      <c r="R8" s="15">
        <v>57030.39</v>
      </c>
      <c r="S8" s="15">
        <v>55786.75</v>
      </c>
      <c r="T8" s="15">
        <v>41892.160000000003</v>
      </c>
      <c r="U8" s="15">
        <v>85027.46</v>
      </c>
      <c r="V8" s="15">
        <v>53009.85</v>
      </c>
      <c r="W8" s="15">
        <v>74454.67</v>
      </c>
      <c r="X8" s="15">
        <v>97419.16</v>
      </c>
      <c r="Y8" s="15">
        <v>74093.55</v>
      </c>
      <c r="Z8" s="15">
        <v>46911.99</v>
      </c>
      <c r="AA8" s="15">
        <v>70021.64</v>
      </c>
      <c r="AB8" s="15">
        <v>79759.33</v>
      </c>
      <c r="AC8" s="15">
        <v>104522.65</v>
      </c>
      <c r="AD8" s="15">
        <v>123012.25</v>
      </c>
      <c r="AE8" s="15">
        <v>79373.03</v>
      </c>
      <c r="AF8" s="15">
        <v>90501.98</v>
      </c>
      <c r="AG8" s="15">
        <v>81619.990000000005</v>
      </c>
      <c r="AH8" s="15">
        <v>65088.72</v>
      </c>
      <c r="AI8" s="15">
        <v>110132.82</v>
      </c>
      <c r="AJ8" s="15">
        <f t="shared" si="0"/>
        <v>51204.67</v>
      </c>
      <c r="AK8" s="15">
        <f t="shared" si="1"/>
        <v>46911.99</v>
      </c>
      <c r="AL8" s="15">
        <f t="shared" si="2"/>
        <v>110132.82</v>
      </c>
    </row>
    <row r="9" spans="1:40" x14ac:dyDescent="0.2">
      <c r="A9" t="s">
        <v>527</v>
      </c>
      <c r="B9" s="8" t="s">
        <v>285</v>
      </c>
      <c r="C9" s="15">
        <v>131712.53</v>
      </c>
      <c r="D9" s="15">
        <v>96802.61</v>
      </c>
      <c r="E9" s="15">
        <v>119127.67999999999</v>
      </c>
      <c r="F9" s="15">
        <v>73924.710000000006</v>
      </c>
      <c r="G9" s="15">
        <v>77659.23</v>
      </c>
      <c r="H9" s="15">
        <v>80462.679999999993</v>
      </c>
      <c r="I9" s="15">
        <v>86222.52</v>
      </c>
      <c r="J9" s="15">
        <v>156841.96</v>
      </c>
      <c r="K9" s="15">
        <v>93018.15</v>
      </c>
      <c r="L9" s="15">
        <v>84217.9</v>
      </c>
      <c r="M9" s="15">
        <v>123511.08</v>
      </c>
      <c r="N9" s="15">
        <v>132711.04999999999</v>
      </c>
      <c r="O9" s="15">
        <v>108395.28</v>
      </c>
      <c r="P9" s="15">
        <v>89677.64</v>
      </c>
      <c r="Q9" s="15">
        <v>94926.76</v>
      </c>
      <c r="R9" s="15">
        <v>113667.34</v>
      </c>
      <c r="S9" s="15">
        <v>111945.35</v>
      </c>
      <c r="T9" s="15">
        <v>113680.82</v>
      </c>
      <c r="U9" s="15">
        <v>118441.77</v>
      </c>
      <c r="V9" s="15">
        <v>127262.52</v>
      </c>
      <c r="W9" s="15">
        <v>103400.32000000001</v>
      </c>
      <c r="X9" s="15">
        <v>135468.51</v>
      </c>
      <c r="Y9" s="15">
        <v>164727.07999999999</v>
      </c>
      <c r="Z9" s="15">
        <v>253208.02</v>
      </c>
      <c r="AA9" s="15">
        <v>159559.79</v>
      </c>
      <c r="AB9" s="15">
        <v>143640.93</v>
      </c>
      <c r="AC9" s="15">
        <v>131204.64000000001</v>
      </c>
      <c r="AD9" s="15">
        <v>113140.93</v>
      </c>
      <c r="AE9" s="15">
        <v>109224.85</v>
      </c>
      <c r="AF9" s="15">
        <v>152083.74</v>
      </c>
      <c r="AG9" s="15">
        <v>126816.81</v>
      </c>
      <c r="AH9" s="15">
        <v>130091.44</v>
      </c>
      <c r="AI9" s="15">
        <v>126398.77</v>
      </c>
      <c r="AJ9" s="15">
        <f t="shared" si="0"/>
        <v>132711.04999999999</v>
      </c>
      <c r="AK9" s="15">
        <f t="shared" si="1"/>
        <v>253208.02</v>
      </c>
      <c r="AL9" s="15">
        <f t="shared" si="2"/>
        <v>126398.77</v>
      </c>
    </row>
    <row r="10" spans="1:40" x14ac:dyDescent="0.2">
      <c r="A10" t="s">
        <v>288</v>
      </c>
      <c r="B10" s="8" t="s">
        <v>241</v>
      </c>
      <c r="C10" s="15">
        <v>9219.7900000000009</v>
      </c>
      <c r="D10" s="15">
        <v>9814.85</v>
      </c>
      <c r="E10" s="15">
        <v>9117.25</v>
      </c>
      <c r="F10" s="15">
        <v>9516.73</v>
      </c>
      <c r="G10" s="15">
        <v>9222.49</v>
      </c>
      <c r="H10" s="15">
        <v>5586.78</v>
      </c>
      <c r="I10" s="15">
        <v>8171.94</v>
      </c>
      <c r="J10" s="15">
        <v>3839.27</v>
      </c>
      <c r="K10" s="15">
        <v>14243.84</v>
      </c>
      <c r="L10" s="15">
        <v>5223.29</v>
      </c>
      <c r="M10" s="15">
        <v>6409.11</v>
      </c>
      <c r="N10" s="15">
        <v>13477.03</v>
      </c>
      <c r="O10" s="15">
        <v>8975.83</v>
      </c>
      <c r="P10" s="15">
        <v>9892.6299999999992</v>
      </c>
      <c r="Q10" s="15">
        <v>12972.28</v>
      </c>
      <c r="R10" s="15">
        <v>6493.03</v>
      </c>
      <c r="S10" s="15">
        <v>9445.2999999999993</v>
      </c>
      <c r="T10" s="15">
        <v>14425.66</v>
      </c>
      <c r="U10" s="15">
        <v>7039.89</v>
      </c>
      <c r="V10" s="15">
        <v>10552.93</v>
      </c>
      <c r="W10" s="15">
        <v>12471.51</v>
      </c>
      <c r="X10" s="15">
        <v>6874.1</v>
      </c>
      <c r="Y10" s="15">
        <v>6840.3</v>
      </c>
      <c r="Z10" s="15">
        <v>19198.39</v>
      </c>
      <c r="AA10" s="15">
        <v>13289.17</v>
      </c>
      <c r="AB10" s="15">
        <v>13361.61</v>
      </c>
      <c r="AC10" s="15">
        <v>16296.93</v>
      </c>
      <c r="AD10" s="15">
        <v>16053.93</v>
      </c>
      <c r="AE10" s="15">
        <v>7849.79</v>
      </c>
      <c r="AF10" s="15">
        <v>14236.71</v>
      </c>
      <c r="AG10" s="15">
        <v>10889.36</v>
      </c>
      <c r="AH10" s="15">
        <v>18852.560000000001</v>
      </c>
      <c r="AI10" s="15">
        <v>11736.47</v>
      </c>
      <c r="AJ10" s="15">
        <f t="shared" si="0"/>
        <v>13477.03</v>
      </c>
      <c r="AK10" s="15">
        <f t="shared" si="1"/>
        <v>19198.39</v>
      </c>
      <c r="AL10" s="15">
        <f t="shared" si="2"/>
        <v>11736.47</v>
      </c>
    </row>
    <row r="11" spans="1:40" x14ac:dyDescent="0.2">
      <c r="A11" t="s">
        <v>528</v>
      </c>
      <c r="B11" s="8" t="s">
        <v>289</v>
      </c>
      <c r="C11" s="15">
        <v>145139.37</v>
      </c>
      <c r="D11" s="15">
        <v>125934.67</v>
      </c>
      <c r="E11" s="15">
        <v>101396.83</v>
      </c>
      <c r="F11" s="15">
        <v>150033.5</v>
      </c>
      <c r="G11" s="15">
        <v>69436.59</v>
      </c>
      <c r="H11" s="15">
        <v>48288.58</v>
      </c>
      <c r="I11" s="15">
        <v>64596.25</v>
      </c>
      <c r="J11" s="15">
        <v>125518.22</v>
      </c>
      <c r="K11" s="15">
        <v>119095.45</v>
      </c>
      <c r="L11" s="15">
        <v>108777.83</v>
      </c>
      <c r="M11" s="15">
        <v>107786.61</v>
      </c>
      <c r="N11" s="15">
        <v>115167.66</v>
      </c>
      <c r="O11" s="15">
        <v>87527.679999999993</v>
      </c>
      <c r="P11" s="15">
        <v>113290.25</v>
      </c>
      <c r="Q11" s="15">
        <v>84190.62</v>
      </c>
      <c r="R11" s="15">
        <v>134003.79</v>
      </c>
      <c r="S11" s="15">
        <v>110064.14</v>
      </c>
      <c r="T11" s="15">
        <v>123413.89</v>
      </c>
      <c r="U11" s="15">
        <v>171056.65</v>
      </c>
      <c r="V11" s="15">
        <v>105185.77</v>
      </c>
      <c r="W11" s="15">
        <v>115310.77</v>
      </c>
      <c r="X11" s="15">
        <v>85917.28</v>
      </c>
      <c r="Y11" s="15">
        <v>171006.61</v>
      </c>
      <c r="Z11" s="15">
        <v>215178.21</v>
      </c>
      <c r="AA11" s="15">
        <v>162719.57</v>
      </c>
      <c r="AB11" s="15">
        <v>132913.06</v>
      </c>
      <c r="AC11" s="15">
        <v>113978.6</v>
      </c>
      <c r="AD11" s="15">
        <v>138398.07</v>
      </c>
      <c r="AE11" s="15">
        <v>107857.56</v>
      </c>
      <c r="AF11" s="15">
        <v>91617.59</v>
      </c>
      <c r="AG11" s="15">
        <v>149798.85</v>
      </c>
      <c r="AH11" s="15">
        <v>131430.98000000001</v>
      </c>
      <c r="AI11" s="15">
        <v>115918.75</v>
      </c>
      <c r="AJ11" s="15">
        <f t="shared" si="0"/>
        <v>115167.66</v>
      </c>
      <c r="AK11" s="15">
        <f t="shared" si="1"/>
        <v>215178.21</v>
      </c>
      <c r="AL11" s="15">
        <f t="shared" si="2"/>
        <v>115918.75</v>
      </c>
    </row>
    <row r="12" spans="1:40" x14ac:dyDescent="0.2">
      <c r="A12" t="s">
        <v>292</v>
      </c>
      <c r="B12" s="8" t="s">
        <v>291</v>
      </c>
      <c r="C12" s="15">
        <v>81400</v>
      </c>
      <c r="D12" s="15">
        <v>74000</v>
      </c>
      <c r="E12" s="15">
        <v>66600</v>
      </c>
      <c r="F12" s="15">
        <v>59200</v>
      </c>
      <c r="G12" s="15">
        <v>51800</v>
      </c>
      <c r="H12" s="15">
        <v>44400</v>
      </c>
      <c r="I12" s="15">
        <v>37000</v>
      </c>
      <c r="J12" s="15">
        <v>29600</v>
      </c>
      <c r="K12" s="15">
        <v>22200</v>
      </c>
      <c r="L12" s="15">
        <v>14800</v>
      </c>
      <c r="M12" s="15">
        <v>7400</v>
      </c>
      <c r="N12" s="15">
        <v>0</v>
      </c>
      <c r="O12" s="15">
        <v>92988.4</v>
      </c>
      <c r="P12" s="15">
        <v>85366.399999999994</v>
      </c>
      <c r="Q12" s="15">
        <v>77744.399999999994</v>
      </c>
      <c r="R12" s="15">
        <v>70122.399999999994</v>
      </c>
      <c r="S12" s="15">
        <v>61357.1</v>
      </c>
      <c r="T12" s="15">
        <v>52591.8</v>
      </c>
      <c r="U12" s="15">
        <v>43826.5</v>
      </c>
      <c r="V12" s="15">
        <v>35061.199999999997</v>
      </c>
      <c r="W12" s="15">
        <v>26295.9</v>
      </c>
      <c r="X12" s="15">
        <v>17530.599999999999</v>
      </c>
      <c r="Y12" s="15">
        <v>8765.2999999999993</v>
      </c>
      <c r="Z12" s="15">
        <v>0</v>
      </c>
      <c r="AA12" s="15">
        <v>99310.86</v>
      </c>
      <c r="AB12" s="15">
        <v>90282.6</v>
      </c>
      <c r="AC12" s="15">
        <v>81254.34</v>
      </c>
      <c r="AD12" s="15">
        <v>72226.080000000002</v>
      </c>
      <c r="AE12" s="15">
        <v>63197.82</v>
      </c>
      <c r="AF12" s="15">
        <v>54169.56</v>
      </c>
      <c r="AG12" s="15">
        <v>45141.3</v>
      </c>
      <c r="AH12" s="15">
        <v>36113.040000000001</v>
      </c>
      <c r="AI12" s="15">
        <v>27084.78</v>
      </c>
      <c r="AJ12" s="15">
        <f t="shared" si="0"/>
        <v>0</v>
      </c>
      <c r="AK12" s="15">
        <f t="shared" si="1"/>
        <v>0</v>
      </c>
      <c r="AL12" s="15">
        <f t="shared" si="2"/>
        <v>27084.78</v>
      </c>
    </row>
    <row r="13" spans="1:40" x14ac:dyDescent="0.2">
      <c r="A13" t="s">
        <v>294</v>
      </c>
      <c r="B13" s="8" t="s">
        <v>293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773.09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f t="shared" si="0"/>
        <v>0</v>
      </c>
      <c r="AK13" s="15">
        <f t="shared" si="1"/>
        <v>0</v>
      </c>
      <c r="AL13" s="15">
        <f t="shared" si="2"/>
        <v>0</v>
      </c>
    </row>
    <row r="14" spans="1:40" x14ac:dyDescent="0.2">
      <c r="A14" s="16" t="s">
        <v>296</v>
      </c>
      <c r="B14" s="16" t="s">
        <v>295</v>
      </c>
      <c r="C14" s="17">
        <f t="shared" ref="C14:AI14" si="3">C6+C7+C8+C9+C10+C11+C12+C13</f>
        <v>1271869.5900000001</v>
      </c>
      <c r="D14" s="17">
        <f t="shared" si="3"/>
        <v>1335778.7000000002</v>
      </c>
      <c r="E14" s="17">
        <f t="shared" si="3"/>
        <v>1297213.82</v>
      </c>
      <c r="F14" s="17">
        <f t="shared" si="3"/>
        <v>1481458.79</v>
      </c>
      <c r="G14" s="17">
        <f t="shared" si="3"/>
        <v>1573010.99</v>
      </c>
      <c r="H14" s="17">
        <f t="shared" si="3"/>
        <v>1431543.8699999999</v>
      </c>
      <c r="I14" s="17">
        <f t="shared" si="3"/>
        <v>1345071.49</v>
      </c>
      <c r="J14" s="17">
        <f t="shared" si="3"/>
        <v>1475358.5999999999</v>
      </c>
      <c r="K14" s="17">
        <f t="shared" si="3"/>
        <v>1443001.1099999999</v>
      </c>
      <c r="L14" s="17">
        <f t="shared" si="3"/>
        <v>1595610.44</v>
      </c>
      <c r="M14" s="17">
        <f t="shared" si="3"/>
        <v>1825052.0100000002</v>
      </c>
      <c r="N14" s="17">
        <f t="shared" si="3"/>
        <v>1522585.8399999999</v>
      </c>
      <c r="O14" s="17">
        <f t="shared" si="3"/>
        <v>1570542.1699999997</v>
      </c>
      <c r="P14" s="17">
        <f t="shared" si="3"/>
        <v>1678872.4799999997</v>
      </c>
      <c r="Q14" s="17">
        <f t="shared" si="3"/>
        <v>1687070.62</v>
      </c>
      <c r="R14" s="17">
        <f t="shared" si="3"/>
        <v>1396121.1900000002</v>
      </c>
      <c r="S14" s="17">
        <f t="shared" si="3"/>
        <v>1510738.6900000002</v>
      </c>
      <c r="T14" s="17">
        <f t="shared" si="3"/>
        <v>1385407.69</v>
      </c>
      <c r="U14" s="17">
        <f t="shared" si="3"/>
        <v>1406064.9199999997</v>
      </c>
      <c r="V14" s="17">
        <f t="shared" si="3"/>
        <v>1464926.91</v>
      </c>
      <c r="W14" s="17">
        <f t="shared" si="3"/>
        <v>1459836.96</v>
      </c>
      <c r="X14" s="17">
        <f t="shared" si="3"/>
        <v>1611796.2700000003</v>
      </c>
      <c r="Y14" s="17">
        <f t="shared" si="3"/>
        <v>1792024.57</v>
      </c>
      <c r="Z14" s="17">
        <f t="shared" si="3"/>
        <v>1693581</v>
      </c>
      <c r="AA14" s="17">
        <f t="shared" si="3"/>
        <v>1846237.3</v>
      </c>
      <c r="AB14" s="17">
        <f t="shared" si="3"/>
        <v>1813594.9500000002</v>
      </c>
      <c r="AC14" s="17">
        <f t="shared" si="3"/>
        <v>1922963.94</v>
      </c>
      <c r="AD14" s="17">
        <f t="shared" si="3"/>
        <v>2166068.7799999998</v>
      </c>
      <c r="AE14" s="17">
        <f t="shared" si="3"/>
        <v>2090697.9100000001</v>
      </c>
      <c r="AF14" s="17">
        <f t="shared" si="3"/>
        <v>2214192.16</v>
      </c>
      <c r="AG14" s="17">
        <f t="shared" si="3"/>
        <v>2205069.98</v>
      </c>
      <c r="AH14" s="17">
        <f t="shared" si="3"/>
        <v>2329735.1700000004</v>
      </c>
      <c r="AI14" s="17">
        <f t="shared" si="3"/>
        <v>2355066.13</v>
      </c>
      <c r="AJ14" s="17">
        <f t="shared" si="0"/>
        <v>1522585.8399999999</v>
      </c>
      <c r="AK14" s="17">
        <f t="shared" si="1"/>
        <v>1693581</v>
      </c>
      <c r="AL14" s="17">
        <f t="shared" si="2"/>
        <v>2355066.13</v>
      </c>
    </row>
    <row r="15" spans="1:40" x14ac:dyDescent="0.2">
      <c r="A15" t="s">
        <v>298</v>
      </c>
      <c r="B15" s="8" t="s">
        <v>297</v>
      </c>
      <c r="C15" s="15">
        <v>2070000</v>
      </c>
      <c r="D15" s="15">
        <v>2070000</v>
      </c>
      <c r="E15" s="15">
        <v>2070000</v>
      </c>
      <c r="F15" s="15">
        <v>2070000</v>
      </c>
      <c r="G15" s="15">
        <v>2070000</v>
      </c>
      <c r="H15" s="15">
        <v>2070000</v>
      </c>
      <c r="I15" s="15">
        <v>2070000</v>
      </c>
      <c r="J15" s="15">
        <v>2070000</v>
      </c>
      <c r="K15" s="15">
        <v>2138000</v>
      </c>
      <c r="L15" s="15">
        <v>2138000</v>
      </c>
      <c r="M15" s="15">
        <v>2138000</v>
      </c>
      <c r="N15" s="15">
        <v>2138000</v>
      </c>
      <c r="O15" s="15">
        <v>2138000</v>
      </c>
      <c r="P15" s="15">
        <v>2138000</v>
      </c>
      <c r="Q15" s="15">
        <v>2548000</v>
      </c>
      <c r="R15" s="15">
        <v>2811000</v>
      </c>
      <c r="S15" s="15">
        <v>2811000</v>
      </c>
      <c r="T15" s="15">
        <v>2811000</v>
      </c>
      <c r="U15" s="15">
        <v>2811000</v>
      </c>
      <c r="V15" s="15">
        <v>2811000</v>
      </c>
      <c r="W15" s="15">
        <v>2811000</v>
      </c>
      <c r="X15" s="15">
        <v>2811000</v>
      </c>
      <c r="Y15" s="15">
        <v>2811000</v>
      </c>
      <c r="Z15" s="15">
        <v>2811000</v>
      </c>
      <c r="AA15" s="15">
        <v>2811000</v>
      </c>
      <c r="AB15" s="15">
        <v>2853000</v>
      </c>
      <c r="AC15" s="15">
        <v>2853000</v>
      </c>
      <c r="AD15" s="15">
        <v>2853000</v>
      </c>
      <c r="AE15" s="15">
        <v>2948000</v>
      </c>
      <c r="AF15" s="15">
        <v>2948000</v>
      </c>
      <c r="AG15" s="15">
        <v>2948000</v>
      </c>
      <c r="AH15" s="15">
        <v>2948000</v>
      </c>
      <c r="AI15" s="15">
        <v>2948000</v>
      </c>
      <c r="AJ15" s="15">
        <f t="shared" si="0"/>
        <v>2138000</v>
      </c>
      <c r="AK15" s="15">
        <f t="shared" si="1"/>
        <v>2811000</v>
      </c>
      <c r="AL15" s="15">
        <f t="shared" si="2"/>
        <v>2948000</v>
      </c>
    </row>
    <row r="16" spans="1:40" x14ac:dyDescent="0.2">
      <c r="A16" t="s">
        <v>300</v>
      </c>
      <c r="B16" s="8" t="s">
        <v>299</v>
      </c>
      <c r="C16" s="15">
        <v>-974472.49</v>
      </c>
      <c r="D16" s="15">
        <v>-990097.49</v>
      </c>
      <c r="E16" s="15">
        <v>-1005722.49</v>
      </c>
      <c r="F16" s="15">
        <v>-1021347.49</v>
      </c>
      <c r="G16" s="15">
        <v>-1036972.49</v>
      </c>
      <c r="H16" s="15">
        <v>-1052597.49</v>
      </c>
      <c r="I16" s="15">
        <v>-1068222.49</v>
      </c>
      <c r="J16" s="15">
        <v>-1083847.49</v>
      </c>
      <c r="K16" s="15">
        <v>-1099472.49</v>
      </c>
      <c r="L16" s="15">
        <v>-1116230.82</v>
      </c>
      <c r="M16" s="15">
        <v>-1132989.1499999999</v>
      </c>
      <c r="N16" s="15">
        <v>-1149747.48</v>
      </c>
      <c r="O16" s="15">
        <v>-1166505.81</v>
      </c>
      <c r="P16" s="15">
        <v>-1183264.1399999999</v>
      </c>
      <c r="Q16" s="15">
        <v>-1200022.47</v>
      </c>
      <c r="R16" s="15">
        <v>-1220197.47</v>
      </c>
      <c r="S16" s="15">
        <v>-1243214.1399999999</v>
      </c>
      <c r="T16" s="15">
        <v>-1266230.81</v>
      </c>
      <c r="U16" s="15">
        <v>-1289247.48</v>
      </c>
      <c r="V16" s="15">
        <v>-1312264.1499999999</v>
      </c>
      <c r="W16" s="15">
        <v>-1335280.82</v>
      </c>
      <c r="X16" s="15">
        <v>-1357297.49</v>
      </c>
      <c r="Y16" s="15">
        <v>-1379314.16</v>
      </c>
      <c r="Z16" s="15">
        <v>-1401330.83</v>
      </c>
      <c r="AA16" s="15">
        <v>-1423347.5</v>
      </c>
      <c r="AB16" s="15">
        <v>-1445364.17</v>
      </c>
      <c r="AC16" s="15">
        <v>-1467818.34</v>
      </c>
      <c r="AD16" s="15">
        <v>-1490272.51</v>
      </c>
      <c r="AE16" s="15">
        <v>-1512726.68</v>
      </c>
      <c r="AF16" s="15">
        <v>-1535972.52</v>
      </c>
      <c r="AG16" s="15">
        <v>-1559218.36</v>
      </c>
      <c r="AH16" s="15">
        <v>-1582464.2</v>
      </c>
      <c r="AI16" s="15">
        <v>-1605710.04</v>
      </c>
      <c r="AJ16" s="15">
        <f t="shared" si="0"/>
        <v>-1149747.48</v>
      </c>
      <c r="AK16" s="15">
        <f t="shared" si="1"/>
        <v>-1401330.83</v>
      </c>
      <c r="AL16" s="15">
        <f t="shared" si="2"/>
        <v>-1605710.04</v>
      </c>
    </row>
    <row r="17" spans="1:38" x14ac:dyDescent="0.2">
      <c r="A17" s="16" t="s">
        <v>302</v>
      </c>
      <c r="B17" s="16" t="s">
        <v>301</v>
      </c>
      <c r="C17" s="17">
        <f t="shared" ref="C17:AI17" si="4">C15+C16</f>
        <v>1095527.51</v>
      </c>
      <c r="D17" s="17">
        <f t="shared" si="4"/>
        <v>1079902.51</v>
      </c>
      <c r="E17" s="17">
        <f t="shared" si="4"/>
        <v>1064277.51</v>
      </c>
      <c r="F17" s="17">
        <f t="shared" si="4"/>
        <v>1048652.51</v>
      </c>
      <c r="G17" s="17">
        <f t="shared" si="4"/>
        <v>1033027.51</v>
      </c>
      <c r="H17" s="17">
        <f t="shared" si="4"/>
        <v>1017402.51</v>
      </c>
      <c r="I17" s="17">
        <f t="shared" si="4"/>
        <v>1001777.51</v>
      </c>
      <c r="J17" s="17">
        <f t="shared" si="4"/>
        <v>986152.51</v>
      </c>
      <c r="K17" s="17">
        <f t="shared" si="4"/>
        <v>1038527.51</v>
      </c>
      <c r="L17" s="17">
        <f t="shared" si="4"/>
        <v>1021769.1799999999</v>
      </c>
      <c r="M17" s="17">
        <f t="shared" si="4"/>
        <v>1005010.8500000001</v>
      </c>
      <c r="N17" s="17">
        <f t="shared" si="4"/>
        <v>988252.52</v>
      </c>
      <c r="O17" s="17">
        <f t="shared" si="4"/>
        <v>971494.19</v>
      </c>
      <c r="P17" s="17">
        <f t="shared" si="4"/>
        <v>954735.8600000001</v>
      </c>
      <c r="Q17" s="17">
        <f t="shared" si="4"/>
        <v>1347977.53</v>
      </c>
      <c r="R17" s="17">
        <f t="shared" si="4"/>
        <v>1590802.53</v>
      </c>
      <c r="S17" s="17">
        <f t="shared" si="4"/>
        <v>1567785.86</v>
      </c>
      <c r="T17" s="17">
        <f t="shared" si="4"/>
        <v>1544769.19</v>
      </c>
      <c r="U17" s="17">
        <f t="shared" si="4"/>
        <v>1521752.52</v>
      </c>
      <c r="V17" s="17">
        <f t="shared" si="4"/>
        <v>1498735.85</v>
      </c>
      <c r="W17" s="17">
        <f t="shared" si="4"/>
        <v>1475719.18</v>
      </c>
      <c r="X17" s="17">
        <f t="shared" si="4"/>
        <v>1453702.51</v>
      </c>
      <c r="Y17" s="17">
        <f t="shared" si="4"/>
        <v>1431685.84</v>
      </c>
      <c r="Z17" s="17">
        <f t="shared" si="4"/>
        <v>1409669.17</v>
      </c>
      <c r="AA17" s="17">
        <f t="shared" si="4"/>
        <v>1387652.5</v>
      </c>
      <c r="AB17" s="17">
        <f t="shared" si="4"/>
        <v>1407635.83</v>
      </c>
      <c r="AC17" s="17">
        <f t="shared" si="4"/>
        <v>1385181.66</v>
      </c>
      <c r="AD17" s="17">
        <f t="shared" si="4"/>
        <v>1362727.49</v>
      </c>
      <c r="AE17" s="17">
        <f t="shared" si="4"/>
        <v>1435273.32</v>
      </c>
      <c r="AF17" s="17">
        <f t="shared" si="4"/>
        <v>1412027.48</v>
      </c>
      <c r="AG17" s="17">
        <f t="shared" si="4"/>
        <v>1388781.64</v>
      </c>
      <c r="AH17" s="17">
        <f t="shared" si="4"/>
        <v>1365535.8</v>
      </c>
      <c r="AI17" s="17">
        <f t="shared" si="4"/>
        <v>1342289.96</v>
      </c>
      <c r="AJ17" s="17">
        <f t="shared" si="0"/>
        <v>988252.52</v>
      </c>
      <c r="AK17" s="17">
        <f t="shared" si="1"/>
        <v>1409669.17</v>
      </c>
      <c r="AL17" s="17">
        <f t="shared" si="2"/>
        <v>1342289.96</v>
      </c>
    </row>
    <row r="18" spans="1:38" x14ac:dyDescent="0.2">
      <c r="A18" s="16" t="s">
        <v>304</v>
      </c>
      <c r="B18" s="16" t="s">
        <v>303</v>
      </c>
      <c r="C18" s="17">
        <f t="shared" ref="C18:AI18" si="5">C14+C17</f>
        <v>2367397.1</v>
      </c>
      <c r="D18" s="17">
        <f t="shared" si="5"/>
        <v>2415681.21</v>
      </c>
      <c r="E18" s="17">
        <f t="shared" si="5"/>
        <v>2361491.33</v>
      </c>
      <c r="F18" s="17">
        <f t="shared" si="5"/>
        <v>2530111.2999999998</v>
      </c>
      <c r="G18" s="17">
        <f t="shared" si="5"/>
        <v>2606038.5</v>
      </c>
      <c r="H18" s="17">
        <f t="shared" si="5"/>
        <v>2448946.38</v>
      </c>
      <c r="I18" s="17">
        <f t="shared" si="5"/>
        <v>2346849</v>
      </c>
      <c r="J18" s="17">
        <f t="shared" si="5"/>
        <v>2461511.11</v>
      </c>
      <c r="K18" s="17">
        <f t="shared" si="5"/>
        <v>2481528.62</v>
      </c>
      <c r="L18" s="17">
        <f t="shared" si="5"/>
        <v>2617379.62</v>
      </c>
      <c r="M18" s="17">
        <f t="shared" si="5"/>
        <v>2830062.8600000003</v>
      </c>
      <c r="N18" s="17">
        <f t="shared" si="5"/>
        <v>2510838.36</v>
      </c>
      <c r="O18" s="17">
        <f t="shared" si="5"/>
        <v>2542036.3599999994</v>
      </c>
      <c r="P18" s="17">
        <f t="shared" si="5"/>
        <v>2633608.34</v>
      </c>
      <c r="Q18" s="17">
        <f t="shared" si="5"/>
        <v>3035048.1500000004</v>
      </c>
      <c r="R18" s="17">
        <f t="shared" si="5"/>
        <v>2986923.72</v>
      </c>
      <c r="S18" s="17">
        <f t="shared" si="5"/>
        <v>3078524.5500000003</v>
      </c>
      <c r="T18" s="17">
        <f t="shared" si="5"/>
        <v>2930176.88</v>
      </c>
      <c r="U18" s="17">
        <f t="shared" si="5"/>
        <v>2927817.4399999995</v>
      </c>
      <c r="V18" s="17">
        <f t="shared" si="5"/>
        <v>2963662.76</v>
      </c>
      <c r="W18" s="17">
        <f t="shared" si="5"/>
        <v>2935556.1399999997</v>
      </c>
      <c r="X18" s="17">
        <f t="shared" si="5"/>
        <v>3065498.7800000003</v>
      </c>
      <c r="Y18" s="17">
        <f t="shared" si="5"/>
        <v>3223710.41</v>
      </c>
      <c r="Z18" s="17">
        <f t="shared" si="5"/>
        <v>3103250.17</v>
      </c>
      <c r="AA18" s="17">
        <f t="shared" si="5"/>
        <v>3233889.8</v>
      </c>
      <c r="AB18" s="17">
        <f t="shared" si="5"/>
        <v>3221230.7800000003</v>
      </c>
      <c r="AC18" s="17">
        <f t="shared" si="5"/>
        <v>3308145.5999999996</v>
      </c>
      <c r="AD18" s="17">
        <f t="shared" si="5"/>
        <v>3528796.2699999996</v>
      </c>
      <c r="AE18" s="17">
        <f t="shared" si="5"/>
        <v>3525971.2300000004</v>
      </c>
      <c r="AF18" s="17">
        <f t="shared" si="5"/>
        <v>3626219.64</v>
      </c>
      <c r="AG18" s="17">
        <f t="shared" si="5"/>
        <v>3593851.62</v>
      </c>
      <c r="AH18" s="17">
        <f t="shared" si="5"/>
        <v>3695270.9700000007</v>
      </c>
      <c r="AI18" s="17">
        <f t="shared" si="5"/>
        <v>3697356.09</v>
      </c>
      <c r="AJ18" s="17">
        <f t="shared" si="0"/>
        <v>2510838.36</v>
      </c>
      <c r="AK18" s="17">
        <f t="shared" si="1"/>
        <v>3103250.17</v>
      </c>
      <c r="AL18" s="17">
        <f t="shared" si="2"/>
        <v>3697356.09</v>
      </c>
    </row>
    <row r="19" spans="1:38" x14ac:dyDescent="0.2">
      <c r="A19" t="s">
        <v>306</v>
      </c>
      <c r="B19" s="8" t="s">
        <v>305</v>
      </c>
      <c r="C19" s="15">
        <v>490370.93</v>
      </c>
      <c r="D19" s="15">
        <v>435380.02</v>
      </c>
      <c r="E19" s="15">
        <v>408607.24</v>
      </c>
      <c r="F19" s="15">
        <v>500878.97</v>
      </c>
      <c r="G19" s="15">
        <v>431081.81</v>
      </c>
      <c r="H19" s="15">
        <v>316685.62</v>
      </c>
      <c r="I19" s="15">
        <v>332793.81</v>
      </c>
      <c r="J19" s="15">
        <v>445640.71</v>
      </c>
      <c r="K19" s="15">
        <v>395109.21</v>
      </c>
      <c r="L19" s="15">
        <v>451003.72</v>
      </c>
      <c r="M19" s="15">
        <v>545947.26</v>
      </c>
      <c r="N19" s="15">
        <v>424657.37</v>
      </c>
      <c r="O19" s="15">
        <v>418392.33</v>
      </c>
      <c r="P19" s="15">
        <v>475571.37</v>
      </c>
      <c r="Q19" s="15">
        <v>443685.67</v>
      </c>
      <c r="R19" s="15">
        <v>517781.45</v>
      </c>
      <c r="S19" s="15">
        <v>564049.34</v>
      </c>
      <c r="T19" s="15">
        <v>477554.57</v>
      </c>
      <c r="U19" s="15">
        <v>532594.43999999994</v>
      </c>
      <c r="V19" s="15">
        <v>501103.64</v>
      </c>
      <c r="W19" s="15">
        <v>464832.41</v>
      </c>
      <c r="X19" s="15">
        <v>575994.04</v>
      </c>
      <c r="Y19" s="15">
        <v>703732.34</v>
      </c>
      <c r="Z19" s="15">
        <v>639637.88</v>
      </c>
      <c r="AA19" s="15">
        <v>610694.5</v>
      </c>
      <c r="AB19" s="15">
        <v>568840.57999999996</v>
      </c>
      <c r="AC19" s="15">
        <v>552207.87</v>
      </c>
      <c r="AD19" s="15">
        <v>673659.01</v>
      </c>
      <c r="AE19" s="15">
        <v>572740.67000000004</v>
      </c>
      <c r="AF19" s="15">
        <v>584576.34</v>
      </c>
      <c r="AG19" s="15">
        <v>560274.94999999995</v>
      </c>
      <c r="AH19" s="15">
        <v>580697.19999999995</v>
      </c>
      <c r="AI19" s="15">
        <v>526655.93999999994</v>
      </c>
      <c r="AJ19" s="15">
        <f t="shared" si="0"/>
        <v>424657.37</v>
      </c>
      <c r="AK19" s="15">
        <f t="shared" si="1"/>
        <v>639637.88</v>
      </c>
      <c r="AL19" s="15">
        <f t="shared" si="2"/>
        <v>526655.93999999994</v>
      </c>
    </row>
    <row r="20" spans="1:38" x14ac:dyDescent="0.2">
      <c r="A20" t="s">
        <v>308</v>
      </c>
      <c r="B20" s="8" t="s">
        <v>307</v>
      </c>
      <c r="C20" s="15">
        <v>150143.15</v>
      </c>
      <c r="D20" s="15">
        <v>145168.34</v>
      </c>
      <c r="E20" s="15">
        <v>142336.91</v>
      </c>
      <c r="F20" s="15">
        <v>150553.24</v>
      </c>
      <c r="G20" s="15">
        <v>149610.73000000001</v>
      </c>
      <c r="H20" s="15">
        <v>137532.62</v>
      </c>
      <c r="I20" s="15">
        <v>143783.69</v>
      </c>
      <c r="J20" s="15">
        <v>153301.57999999999</v>
      </c>
      <c r="K20" s="15">
        <v>146839.54999999999</v>
      </c>
      <c r="L20" s="15">
        <v>151006.51</v>
      </c>
      <c r="M20" s="15">
        <v>143394.72</v>
      </c>
      <c r="N20" s="15">
        <v>147092.04999999999</v>
      </c>
      <c r="O20" s="15">
        <v>161740.07999999999</v>
      </c>
      <c r="P20" s="15">
        <v>150990.22</v>
      </c>
      <c r="Q20" s="15">
        <v>161320.69</v>
      </c>
      <c r="R20" s="15">
        <v>171142.39999999999</v>
      </c>
      <c r="S20" s="15">
        <v>197321.89</v>
      </c>
      <c r="T20" s="15">
        <v>195120.66</v>
      </c>
      <c r="U20" s="15">
        <v>206390.83</v>
      </c>
      <c r="V20" s="15">
        <v>203528.52</v>
      </c>
      <c r="W20" s="15">
        <v>202537.98</v>
      </c>
      <c r="X20" s="15">
        <v>202427.34</v>
      </c>
      <c r="Y20" s="15">
        <v>187868.53</v>
      </c>
      <c r="Z20" s="15">
        <v>209720.11</v>
      </c>
      <c r="AA20" s="15">
        <v>218477.03</v>
      </c>
      <c r="AB20" s="15">
        <v>199435.62</v>
      </c>
      <c r="AC20" s="15">
        <v>221103.3</v>
      </c>
      <c r="AD20" s="15">
        <v>208991.81</v>
      </c>
      <c r="AE20" s="15">
        <v>199642.31</v>
      </c>
      <c r="AF20" s="15">
        <v>216983.13</v>
      </c>
      <c r="AG20" s="15">
        <v>223795.3</v>
      </c>
      <c r="AH20" s="15">
        <v>216752.45</v>
      </c>
      <c r="AI20" s="15">
        <v>211225.52</v>
      </c>
      <c r="AJ20" s="15">
        <f t="shared" si="0"/>
        <v>147092.04999999999</v>
      </c>
      <c r="AK20" s="15">
        <f t="shared" si="1"/>
        <v>209720.11</v>
      </c>
      <c r="AL20" s="15">
        <f t="shared" si="2"/>
        <v>211225.52</v>
      </c>
    </row>
    <row r="21" spans="1:38" x14ac:dyDescent="0.2">
      <c r="A21" t="s">
        <v>310</v>
      </c>
      <c r="B21" s="8" t="s">
        <v>309</v>
      </c>
      <c r="C21" s="15">
        <v>12373.19</v>
      </c>
      <c r="D21" s="15">
        <v>35828.870000000003</v>
      </c>
      <c r="E21" s="15">
        <v>53221.52</v>
      </c>
      <c r="F21" s="15">
        <v>21916.53</v>
      </c>
      <c r="G21" s="15">
        <v>48828.63</v>
      </c>
      <c r="H21" s="15">
        <v>63408.92</v>
      </c>
      <c r="I21" s="15">
        <v>11465.23</v>
      </c>
      <c r="J21" s="15">
        <v>21566.17</v>
      </c>
      <c r="K21" s="15">
        <v>40726.400000000001</v>
      </c>
      <c r="L21" s="15">
        <v>23302.03</v>
      </c>
      <c r="M21" s="15">
        <v>43117.97</v>
      </c>
      <c r="N21" s="15">
        <v>56890.71</v>
      </c>
      <c r="O21" s="15">
        <v>23805.03</v>
      </c>
      <c r="P21" s="15">
        <v>41947.69</v>
      </c>
      <c r="Q21" s="15">
        <v>42226</v>
      </c>
      <c r="R21" s="15">
        <v>0</v>
      </c>
      <c r="S21" s="15">
        <v>22920.12</v>
      </c>
      <c r="T21" s="15">
        <v>40522.49</v>
      </c>
      <c r="U21" s="15">
        <v>18963.36</v>
      </c>
      <c r="V21" s="15">
        <v>47053.32</v>
      </c>
      <c r="W21" s="15">
        <v>70140.86</v>
      </c>
      <c r="X21" s="15">
        <v>26474.25</v>
      </c>
      <c r="Y21" s="15">
        <v>43948.71</v>
      </c>
      <c r="Z21" s="15">
        <v>58397.67</v>
      </c>
      <c r="AA21" s="15">
        <v>40883.01</v>
      </c>
      <c r="AB21" s="15">
        <v>65099.53</v>
      </c>
      <c r="AC21" s="15">
        <v>94989.95</v>
      </c>
      <c r="AD21" s="15">
        <v>32460.76</v>
      </c>
      <c r="AE21" s="15">
        <v>57000.28</v>
      </c>
      <c r="AF21" s="15">
        <v>82391.3</v>
      </c>
      <c r="AG21" s="15">
        <v>26017.75</v>
      </c>
      <c r="AH21" s="15">
        <v>54107.9</v>
      </c>
      <c r="AI21" s="15">
        <v>81285.919999999998</v>
      </c>
      <c r="AJ21" s="15">
        <f t="shared" si="0"/>
        <v>56890.71</v>
      </c>
      <c r="AK21" s="15">
        <f t="shared" si="1"/>
        <v>58397.67</v>
      </c>
      <c r="AL21" s="15">
        <f t="shared" si="2"/>
        <v>81285.919999999998</v>
      </c>
    </row>
    <row r="22" spans="1:38" x14ac:dyDescent="0.2">
      <c r="A22" t="s">
        <v>312</v>
      </c>
      <c r="B22" s="8" t="s">
        <v>311</v>
      </c>
      <c r="C22" s="15">
        <v>62037.5</v>
      </c>
      <c r="D22" s="15">
        <v>72327.360000000001</v>
      </c>
      <c r="E22" s="15">
        <v>13492.24</v>
      </c>
      <c r="F22" s="15">
        <v>25392.799999999999</v>
      </c>
      <c r="G22" s="15">
        <v>39528.33</v>
      </c>
      <c r="H22" s="15">
        <v>35519.03</v>
      </c>
      <c r="I22" s="15">
        <v>28505.11</v>
      </c>
      <c r="J22" s="15">
        <v>27509.21</v>
      </c>
      <c r="K22" s="15">
        <v>34835.300000000003</v>
      </c>
      <c r="L22" s="15">
        <v>46051.33</v>
      </c>
      <c r="M22" s="15">
        <v>62574.82</v>
      </c>
      <c r="N22" s="15">
        <v>56214.239999999998</v>
      </c>
      <c r="O22" s="15">
        <v>63325.82</v>
      </c>
      <c r="P22" s="15">
        <v>67258.33</v>
      </c>
      <c r="Q22" s="15">
        <v>15189</v>
      </c>
      <c r="R22" s="15">
        <v>7096.75</v>
      </c>
      <c r="S22" s="15">
        <v>8469.91</v>
      </c>
      <c r="T22" s="15">
        <v>1759.47</v>
      </c>
      <c r="U22" s="15">
        <v>0</v>
      </c>
      <c r="V22" s="15">
        <v>4784.26</v>
      </c>
      <c r="W22" s="15">
        <v>5039.2</v>
      </c>
      <c r="X22" s="15">
        <v>13708.11</v>
      </c>
      <c r="Y22" s="15">
        <v>18526.95</v>
      </c>
      <c r="Z22" s="15">
        <v>15621.16</v>
      </c>
      <c r="AA22" s="15">
        <v>35926.14</v>
      </c>
      <c r="AB22" s="15">
        <v>40355.82</v>
      </c>
      <c r="AC22" s="15">
        <v>33959.32</v>
      </c>
      <c r="AD22" s="15">
        <v>54869.25</v>
      </c>
      <c r="AE22" s="15">
        <v>77531.86</v>
      </c>
      <c r="AF22" s="15">
        <v>91775.97</v>
      </c>
      <c r="AG22" s="15">
        <v>105057.26</v>
      </c>
      <c r="AH22" s="15">
        <v>122583.22</v>
      </c>
      <c r="AI22" s="15">
        <v>134250.03</v>
      </c>
      <c r="AJ22" s="15">
        <f t="shared" si="0"/>
        <v>56214.239999999998</v>
      </c>
      <c r="AK22" s="15">
        <f t="shared" si="1"/>
        <v>15621.16</v>
      </c>
      <c r="AL22" s="15">
        <f t="shared" si="2"/>
        <v>134250.03</v>
      </c>
    </row>
    <row r="23" spans="1:38" x14ac:dyDescent="0.2">
      <c r="A23" t="s">
        <v>314</v>
      </c>
      <c r="B23" s="8" t="s">
        <v>313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f t="shared" si="0"/>
        <v>0</v>
      </c>
      <c r="AK23" s="15">
        <f t="shared" si="1"/>
        <v>0</v>
      </c>
      <c r="AL23" s="15">
        <f t="shared" si="2"/>
        <v>0</v>
      </c>
    </row>
    <row r="24" spans="1:38" x14ac:dyDescent="0.2">
      <c r="A24" t="s">
        <v>316</v>
      </c>
      <c r="B24" s="8" t="s">
        <v>315</v>
      </c>
      <c r="C24" s="15">
        <v>105000</v>
      </c>
      <c r="D24" s="15">
        <v>105000</v>
      </c>
      <c r="E24" s="15">
        <v>105000</v>
      </c>
      <c r="F24" s="15">
        <v>112500</v>
      </c>
      <c r="G24" s="15">
        <v>120000</v>
      </c>
      <c r="H24" s="15">
        <v>127500</v>
      </c>
      <c r="I24" s="15">
        <v>135000</v>
      </c>
      <c r="J24" s="15">
        <v>142500</v>
      </c>
      <c r="K24" s="15">
        <v>150000</v>
      </c>
      <c r="L24" s="15">
        <v>157500</v>
      </c>
      <c r="M24" s="15">
        <v>165000</v>
      </c>
      <c r="N24" s="15">
        <v>172500</v>
      </c>
      <c r="O24" s="15">
        <v>180000</v>
      </c>
      <c r="P24" s="15">
        <v>187500</v>
      </c>
      <c r="Q24" s="15">
        <v>195000</v>
      </c>
      <c r="R24" s="15">
        <v>195000</v>
      </c>
      <c r="S24" s="15">
        <v>195000</v>
      </c>
      <c r="T24" s="15">
        <v>195000</v>
      </c>
      <c r="U24" s="15">
        <v>195000</v>
      </c>
      <c r="V24" s="15">
        <v>195000</v>
      </c>
      <c r="W24" s="15">
        <v>195000</v>
      </c>
      <c r="X24" s="15">
        <v>195000</v>
      </c>
      <c r="Y24" s="15">
        <v>195000</v>
      </c>
      <c r="Z24" s="15">
        <v>195000</v>
      </c>
      <c r="AA24" s="15">
        <v>195000</v>
      </c>
      <c r="AB24" s="15">
        <v>195000</v>
      </c>
      <c r="AC24" s="15">
        <v>195000</v>
      </c>
      <c r="AD24" s="15">
        <v>195000</v>
      </c>
      <c r="AE24" s="15">
        <v>195000</v>
      </c>
      <c r="AF24" s="15">
        <v>195000</v>
      </c>
      <c r="AG24" s="15">
        <v>195000</v>
      </c>
      <c r="AH24" s="15">
        <v>195000</v>
      </c>
      <c r="AI24" s="15">
        <v>195000</v>
      </c>
      <c r="AJ24" s="15">
        <f t="shared" si="0"/>
        <v>172500</v>
      </c>
      <c r="AK24" s="15">
        <f t="shared" si="1"/>
        <v>195000</v>
      </c>
      <c r="AL24" s="15">
        <f t="shared" si="2"/>
        <v>195000</v>
      </c>
    </row>
    <row r="25" spans="1:38" x14ac:dyDescent="0.2">
      <c r="A25" s="16" t="s">
        <v>318</v>
      </c>
      <c r="B25" s="16" t="s">
        <v>317</v>
      </c>
      <c r="C25" s="17">
        <f t="shared" ref="C25:AI25" si="6">C19+C20+C21+C22+C23+C24</f>
        <v>819924.7699999999</v>
      </c>
      <c r="D25" s="17">
        <f t="shared" si="6"/>
        <v>793704.59</v>
      </c>
      <c r="E25" s="17">
        <f t="shared" si="6"/>
        <v>722657.91</v>
      </c>
      <c r="F25" s="17">
        <f t="shared" si="6"/>
        <v>811241.54</v>
      </c>
      <c r="G25" s="17">
        <f t="shared" si="6"/>
        <v>789049.5</v>
      </c>
      <c r="H25" s="17">
        <f t="shared" si="6"/>
        <v>680646.19</v>
      </c>
      <c r="I25" s="17">
        <f t="shared" si="6"/>
        <v>651547.84</v>
      </c>
      <c r="J25" s="17">
        <f t="shared" si="6"/>
        <v>790517.67</v>
      </c>
      <c r="K25" s="17">
        <f t="shared" si="6"/>
        <v>767510.46000000008</v>
      </c>
      <c r="L25" s="17">
        <f t="shared" si="6"/>
        <v>828863.59</v>
      </c>
      <c r="M25" s="17">
        <f t="shared" si="6"/>
        <v>960034.7699999999</v>
      </c>
      <c r="N25" s="17">
        <f t="shared" si="6"/>
        <v>857354.36999999988</v>
      </c>
      <c r="O25" s="17">
        <f t="shared" si="6"/>
        <v>847263.26</v>
      </c>
      <c r="P25" s="17">
        <f t="shared" si="6"/>
        <v>923267.61</v>
      </c>
      <c r="Q25" s="17">
        <f t="shared" si="6"/>
        <v>857421.36</v>
      </c>
      <c r="R25" s="17">
        <f t="shared" si="6"/>
        <v>891020.6</v>
      </c>
      <c r="S25" s="17">
        <f t="shared" si="6"/>
        <v>987761.26</v>
      </c>
      <c r="T25" s="17">
        <f t="shared" si="6"/>
        <v>909957.19</v>
      </c>
      <c r="U25" s="17">
        <f t="shared" si="6"/>
        <v>952948.62999999989</v>
      </c>
      <c r="V25" s="17">
        <f t="shared" si="6"/>
        <v>951469.74</v>
      </c>
      <c r="W25" s="17">
        <f t="shared" si="6"/>
        <v>937550.45</v>
      </c>
      <c r="X25" s="17">
        <f t="shared" si="6"/>
        <v>1013603.74</v>
      </c>
      <c r="Y25" s="17">
        <f t="shared" si="6"/>
        <v>1149076.5299999998</v>
      </c>
      <c r="Z25" s="17">
        <f t="shared" si="6"/>
        <v>1118376.82</v>
      </c>
      <c r="AA25" s="17">
        <f t="shared" si="6"/>
        <v>1100980.6800000002</v>
      </c>
      <c r="AB25" s="17">
        <f t="shared" si="6"/>
        <v>1068731.5499999998</v>
      </c>
      <c r="AC25" s="17">
        <f t="shared" si="6"/>
        <v>1097260.44</v>
      </c>
      <c r="AD25" s="17">
        <f t="shared" si="6"/>
        <v>1164980.83</v>
      </c>
      <c r="AE25" s="17">
        <f t="shared" si="6"/>
        <v>1101915.1200000001</v>
      </c>
      <c r="AF25" s="17">
        <f t="shared" si="6"/>
        <v>1170726.74</v>
      </c>
      <c r="AG25" s="17">
        <f t="shared" si="6"/>
        <v>1110145.26</v>
      </c>
      <c r="AH25" s="17">
        <f t="shared" si="6"/>
        <v>1169140.77</v>
      </c>
      <c r="AI25" s="17">
        <f t="shared" si="6"/>
        <v>1148417.4100000001</v>
      </c>
      <c r="AJ25" s="17">
        <f t="shared" si="0"/>
        <v>857354.36999999988</v>
      </c>
      <c r="AK25" s="17">
        <f t="shared" si="1"/>
        <v>1118376.82</v>
      </c>
      <c r="AL25" s="17">
        <f t="shared" si="2"/>
        <v>1148417.4100000001</v>
      </c>
    </row>
    <row r="26" spans="1:38" x14ac:dyDescent="0.2">
      <c r="A26" t="s">
        <v>320</v>
      </c>
      <c r="B26" s="8" t="s">
        <v>319</v>
      </c>
      <c r="C26" s="15">
        <v>306250</v>
      </c>
      <c r="D26" s="15">
        <v>297500</v>
      </c>
      <c r="E26" s="15">
        <v>288750</v>
      </c>
      <c r="F26" s="15">
        <v>272500</v>
      </c>
      <c r="G26" s="15">
        <v>256250</v>
      </c>
      <c r="H26" s="15">
        <v>240000</v>
      </c>
      <c r="I26" s="15">
        <v>223750</v>
      </c>
      <c r="J26" s="15">
        <v>207500</v>
      </c>
      <c r="K26" s="15">
        <v>191250</v>
      </c>
      <c r="L26" s="15">
        <v>175000</v>
      </c>
      <c r="M26" s="15">
        <v>158750</v>
      </c>
      <c r="N26" s="15">
        <v>142500</v>
      </c>
      <c r="O26" s="15">
        <v>126250</v>
      </c>
      <c r="P26" s="15">
        <v>110000</v>
      </c>
      <c r="Q26" s="15">
        <v>543750</v>
      </c>
      <c r="R26" s="15">
        <v>527500</v>
      </c>
      <c r="S26" s="15">
        <v>511250</v>
      </c>
      <c r="T26" s="15">
        <v>495000</v>
      </c>
      <c r="U26" s="15">
        <v>478750</v>
      </c>
      <c r="V26" s="15">
        <v>462500</v>
      </c>
      <c r="W26" s="15">
        <v>446250</v>
      </c>
      <c r="X26" s="15">
        <v>430000</v>
      </c>
      <c r="Y26" s="15">
        <v>413750</v>
      </c>
      <c r="Z26" s="15">
        <v>397500</v>
      </c>
      <c r="AA26" s="15">
        <v>381250</v>
      </c>
      <c r="AB26" s="15">
        <v>365000</v>
      </c>
      <c r="AC26" s="15">
        <v>348750</v>
      </c>
      <c r="AD26" s="15">
        <v>332500</v>
      </c>
      <c r="AE26" s="15">
        <v>316250</v>
      </c>
      <c r="AF26" s="15">
        <v>300000</v>
      </c>
      <c r="AG26" s="15">
        <v>283750</v>
      </c>
      <c r="AH26" s="15">
        <v>267500</v>
      </c>
      <c r="AI26" s="15">
        <v>251250</v>
      </c>
      <c r="AJ26" s="15">
        <f t="shared" si="0"/>
        <v>142500</v>
      </c>
      <c r="AK26" s="15">
        <f t="shared" si="1"/>
        <v>397500</v>
      </c>
      <c r="AL26" s="15">
        <f t="shared" si="2"/>
        <v>251250</v>
      </c>
    </row>
    <row r="27" spans="1:38" x14ac:dyDescent="0.2">
      <c r="A27" s="16" t="s">
        <v>322</v>
      </c>
      <c r="B27" s="16" t="s">
        <v>321</v>
      </c>
      <c r="C27" s="17">
        <f t="shared" ref="C27:AI27" si="7">C25+C26</f>
        <v>1126174.77</v>
      </c>
      <c r="D27" s="17">
        <f t="shared" si="7"/>
        <v>1091204.5899999999</v>
      </c>
      <c r="E27" s="17">
        <f t="shared" si="7"/>
        <v>1011407.91</v>
      </c>
      <c r="F27" s="17">
        <f t="shared" si="7"/>
        <v>1083741.54</v>
      </c>
      <c r="G27" s="17">
        <f t="shared" si="7"/>
        <v>1045299.5</v>
      </c>
      <c r="H27" s="17">
        <f t="shared" si="7"/>
        <v>920646.19</v>
      </c>
      <c r="I27" s="17">
        <f t="shared" si="7"/>
        <v>875297.84</v>
      </c>
      <c r="J27" s="17">
        <f t="shared" si="7"/>
        <v>998017.67</v>
      </c>
      <c r="K27" s="17">
        <f t="shared" si="7"/>
        <v>958760.46000000008</v>
      </c>
      <c r="L27" s="17">
        <f t="shared" si="7"/>
        <v>1003863.59</v>
      </c>
      <c r="M27" s="17">
        <f t="shared" si="7"/>
        <v>1118784.77</v>
      </c>
      <c r="N27" s="17">
        <f t="shared" si="7"/>
        <v>999854.36999999988</v>
      </c>
      <c r="O27" s="17">
        <f t="shared" si="7"/>
        <v>973513.26</v>
      </c>
      <c r="P27" s="17">
        <f t="shared" si="7"/>
        <v>1033267.61</v>
      </c>
      <c r="Q27" s="17">
        <f t="shared" si="7"/>
        <v>1401171.3599999999</v>
      </c>
      <c r="R27" s="17">
        <f t="shared" si="7"/>
        <v>1418520.6</v>
      </c>
      <c r="S27" s="17">
        <f t="shared" si="7"/>
        <v>1499011.26</v>
      </c>
      <c r="T27" s="17">
        <f t="shared" si="7"/>
        <v>1404957.19</v>
      </c>
      <c r="U27" s="17">
        <f t="shared" si="7"/>
        <v>1431698.63</v>
      </c>
      <c r="V27" s="17">
        <f t="shared" si="7"/>
        <v>1413969.74</v>
      </c>
      <c r="W27" s="17">
        <f t="shared" si="7"/>
        <v>1383800.45</v>
      </c>
      <c r="X27" s="17">
        <f t="shared" si="7"/>
        <v>1443603.74</v>
      </c>
      <c r="Y27" s="17">
        <f t="shared" si="7"/>
        <v>1562826.5299999998</v>
      </c>
      <c r="Z27" s="17">
        <f t="shared" si="7"/>
        <v>1515876.82</v>
      </c>
      <c r="AA27" s="17">
        <f t="shared" si="7"/>
        <v>1482230.6800000002</v>
      </c>
      <c r="AB27" s="17">
        <f t="shared" si="7"/>
        <v>1433731.5499999998</v>
      </c>
      <c r="AC27" s="17">
        <f t="shared" si="7"/>
        <v>1446010.44</v>
      </c>
      <c r="AD27" s="17">
        <f t="shared" si="7"/>
        <v>1497480.83</v>
      </c>
      <c r="AE27" s="17">
        <f t="shared" si="7"/>
        <v>1418165.12</v>
      </c>
      <c r="AF27" s="17">
        <f t="shared" si="7"/>
        <v>1470726.74</v>
      </c>
      <c r="AG27" s="17">
        <f t="shared" si="7"/>
        <v>1393895.26</v>
      </c>
      <c r="AH27" s="17">
        <f t="shared" si="7"/>
        <v>1436640.77</v>
      </c>
      <c r="AI27" s="17">
        <f t="shared" si="7"/>
        <v>1399667.4100000001</v>
      </c>
      <c r="AJ27" s="17">
        <f t="shared" si="0"/>
        <v>999854.36999999988</v>
      </c>
      <c r="AK27" s="17">
        <f t="shared" si="1"/>
        <v>1515876.82</v>
      </c>
      <c r="AL27" s="17">
        <f t="shared" si="2"/>
        <v>1399667.4100000001</v>
      </c>
    </row>
    <row r="28" spans="1:38" x14ac:dyDescent="0.2">
      <c r="A28" t="s">
        <v>324</v>
      </c>
      <c r="B28" s="8" t="s">
        <v>323</v>
      </c>
      <c r="C28" s="15">
        <v>200000</v>
      </c>
      <c r="D28" s="15">
        <v>200000</v>
      </c>
      <c r="E28" s="15">
        <v>200000</v>
      </c>
      <c r="F28" s="15">
        <v>200000</v>
      </c>
      <c r="G28" s="15">
        <v>200000</v>
      </c>
      <c r="H28" s="15">
        <v>200000</v>
      </c>
      <c r="I28" s="15">
        <v>200000</v>
      </c>
      <c r="J28" s="15">
        <v>200000</v>
      </c>
      <c r="K28" s="15">
        <v>200000</v>
      </c>
      <c r="L28" s="15">
        <v>200000</v>
      </c>
      <c r="M28" s="15">
        <v>200000</v>
      </c>
      <c r="N28" s="15">
        <v>200000</v>
      </c>
      <c r="O28" s="15">
        <v>200000</v>
      </c>
      <c r="P28" s="15">
        <v>200000</v>
      </c>
      <c r="Q28" s="15">
        <v>200000</v>
      </c>
      <c r="R28" s="15">
        <v>200000</v>
      </c>
      <c r="S28" s="15">
        <v>200000</v>
      </c>
      <c r="T28" s="15">
        <v>200000</v>
      </c>
      <c r="U28" s="15">
        <v>200000</v>
      </c>
      <c r="V28" s="15">
        <v>200000</v>
      </c>
      <c r="W28" s="15">
        <v>200000</v>
      </c>
      <c r="X28" s="15">
        <v>200000</v>
      </c>
      <c r="Y28" s="15">
        <v>200000</v>
      </c>
      <c r="Z28" s="15">
        <v>200000</v>
      </c>
      <c r="AA28" s="15">
        <v>200000</v>
      </c>
      <c r="AB28" s="15">
        <v>200000</v>
      </c>
      <c r="AC28" s="15">
        <v>200000</v>
      </c>
      <c r="AD28" s="15">
        <v>200000</v>
      </c>
      <c r="AE28" s="15">
        <v>200000</v>
      </c>
      <c r="AF28" s="15">
        <v>200000</v>
      </c>
      <c r="AG28" s="15">
        <v>200000</v>
      </c>
      <c r="AH28" s="15">
        <v>200000</v>
      </c>
      <c r="AI28" s="15">
        <v>200000</v>
      </c>
      <c r="AJ28" s="15">
        <f t="shared" si="0"/>
        <v>200000</v>
      </c>
      <c r="AK28" s="15">
        <f t="shared" si="1"/>
        <v>200000</v>
      </c>
      <c r="AL28" s="15">
        <f t="shared" si="2"/>
        <v>200000</v>
      </c>
    </row>
    <row r="29" spans="1:38" x14ac:dyDescent="0.2">
      <c r="A29" t="s">
        <v>326</v>
      </c>
      <c r="B29" s="8" t="s">
        <v>325</v>
      </c>
      <c r="C29" s="15">
        <v>1040918.91</v>
      </c>
      <c r="D29" s="15">
        <v>1040918.91</v>
      </c>
      <c r="E29" s="15">
        <v>1040918.91</v>
      </c>
      <c r="F29" s="15">
        <v>1040918.91</v>
      </c>
      <c r="G29" s="15">
        <v>1040918.91</v>
      </c>
      <c r="H29" s="15">
        <v>1040918.91</v>
      </c>
      <c r="I29" s="15">
        <v>1040918.91</v>
      </c>
      <c r="J29" s="15">
        <v>1040918.91</v>
      </c>
      <c r="K29" s="15">
        <v>1040918.91</v>
      </c>
      <c r="L29" s="15">
        <v>1040918.91</v>
      </c>
      <c r="M29" s="15">
        <v>1040918.91</v>
      </c>
      <c r="N29" s="15">
        <v>1310983.99</v>
      </c>
      <c r="O29" s="15">
        <v>1310983.99</v>
      </c>
      <c r="P29" s="15">
        <v>1310983.99</v>
      </c>
      <c r="Q29" s="15">
        <v>1310983.99</v>
      </c>
      <c r="R29" s="15">
        <v>1310983.99</v>
      </c>
      <c r="S29" s="15">
        <v>1310983.99</v>
      </c>
      <c r="T29" s="15">
        <v>1310983.99</v>
      </c>
      <c r="U29" s="15">
        <v>1310983.99</v>
      </c>
      <c r="V29" s="15">
        <v>1310983.99</v>
      </c>
      <c r="W29" s="15">
        <v>1310983.99</v>
      </c>
      <c r="X29" s="15">
        <v>1310983.99</v>
      </c>
      <c r="Y29" s="15">
        <v>1310983.99</v>
      </c>
      <c r="Z29" s="15">
        <v>1387373.35</v>
      </c>
      <c r="AA29" s="15">
        <v>1387373.35</v>
      </c>
      <c r="AB29" s="15">
        <v>1387373.35</v>
      </c>
      <c r="AC29" s="15">
        <v>1387373.35</v>
      </c>
      <c r="AD29" s="15">
        <v>1387373.35</v>
      </c>
      <c r="AE29" s="15">
        <v>1387373.35</v>
      </c>
      <c r="AF29" s="15">
        <v>1387373.35</v>
      </c>
      <c r="AG29" s="15">
        <v>1387373.35</v>
      </c>
      <c r="AH29" s="15">
        <v>1387373.35</v>
      </c>
      <c r="AI29" s="15">
        <v>1387373.35</v>
      </c>
      <c r="AJ29" s="15">
        <f t="shared" si="0"/>
        <v>1310983.99</v>
      </c>
      <c r="AK29" s="15">
        <f t="shared" si="1"/>
        <v>1387373.35</v>
      </c>
      <c r="AL29" s="15">
        <f t="shared" si="2"/>
        <v>1387373.35</v>
      </c>
    </row>
    <row r="30" spans="1:38" x14ac:dyDescent="0.2">
      <c r="A30" t="s">
        <v>328</v>
      </c>
      <c r="B30" s="8" t="s">
        <v>327</v>
      </c>
      <c r="C30" s="15">
        <v>303.42</v>
      </c>
      <c r="D30" s="15">
        <v>83557.710000000006</v>
      </c>
      <c r="E30" s="15">
        <v>109164.51</v>
      </c>
      <c r="F30" s="15">
        <v>205450.85</v>
      </c>
      <c r="G30" s="15">
        <v>319820.09000000003</v>
      </c>
      <c r="H30" s="15">
        <v>287381.28000000003</v>
      </c>
      <c r="I30" s="15">
        <v>230632.25</v>
      </c>
      <c r="J30" s="15">
        <v>222574.53</v>
      </c>
      <c r="K30" s="15">
        <v>281849.25</v>
      </c>
      <c r="L30" s="15">
        <v>372597.12</v>
      </c>
      <c r="M30" s="15">
        <v>470359.18</v>
      </c>
      <c r="N30" s="15">
        <v>0</v>
      </c>
      <c r="O30" s="15">
        <v>57539.11</v>
      </c>
      <c r="P30" s="15">
        <v>89356.74</v>
      </c>
      <c r="Q30" s="15">
        <v>122892.8</v>
      </c>
      <c r="R30" s="15">
        <v>57419.13</v>
      </c>
      <c r="S30" s="15">
        <v>68529.3</v>
      </c>
      <c r="T30" s="15">
        <v>14235.7</v>
      </c>
      <c r="U30" s="15">
        <v>-14865.18</v>
      </c>
      <c r="V30" s="15">
        <v>38709.03</v>
      </c>
      <c r="W30" s="15">
        <v>40771.699999999997</v>
      </c>
      <c r="X30" s="15">
        <v>110911.05</v>
      </c>
      <c r="Y30" s="15">
        <v>149899.89000000001</v>
      </c>
      <c r="Z30" s="15">
        <v>0</v>
      </c>
      <c r="AA30" s="15">
        <v>164285.76999999999</v>
      </c>
      <c r="AB30" s="15">
        <v>200125.88</v>
      </c>
      <c r="AC30" s="15">
        <v>274761.81</v>
      </c>
      <c r="AD30" s="15">
        <v>443942.09</v>
      </c>
      <c r="AE30" s="15">
        <v>520432.76</v>
      </c>
      <c r="AF30" s="15">
        <v>568119.55000000005</v>
      </c>
      <c r="AG30" s="15">
        <v>612583.01</v>
      </c>
      <c r="AH30" s="15">
        <v>671256.85</v>
      </c>
      <c r="AI30" s="15">
        <v>710315.33</v>
      </c>
      <c r="AJ30" s="15">
        <f t="shared" si="0"/>
        <v>0</v>
      </c>
      <c r="AK30" s="15">
        <f t="shared" si="1"/>
        <v>0</v>
      </c>
      <c r="AL30" s="15">
        <f t="shared" si="2"/>
        <v>710315.33</v>
      </c>
    </row>
    <row r="31" spans="1:38" x14ac:dyDescent="0.2">
      <c r="A31" s="16" t="s">
        <v>330</v>
      </c>
      <c r="B31" s="16" t="s">
        <v>329</v>
      </c>
      <c r="C31" s="17">
        <f t="shared" ref="C31:AI31" si="8">C28+C29+C30</f>
        <v>1241222.33</v>
      </c>
      <c r="D31" s="17">
        <f t="shared" si="8"/>
        <v>1324476.6200000001</v>
      </c>
      <c r="E31" s="17">
        <f t="shared" si="8"/>
        <v>1350083.4200000002</v>
      </c>
      <c r="F31" s="17">
        <f t="shared" si="8"/>
        <v>1446369.7600000002</v>
      </c>
      <c r="G31" s="17">
        <f t="shared" si="8"/>
        <v>1560739.0000000002</v>
      </c>
      <c r="H31" s="17">
        <f t="shared" si="8"/>
        <v>1528300.1900000002</v>
      </c>
      <c r="I31" s="17">
        <f t="shared" si="8"/>
        <v>1471551.1600000001</v>
      </c>
      <c r="J31" s="17">
        <f t="shared" si="8"/>
        <v>1463493.4400000002</v>
      </c>
      <c r="K31" s="17">
        <f t="shared" si="8"/>
        <v>1522768.1600000001</v>
      </c>
      <c r="L31" s="17">
        <f t="shared" si="8"/>
        <v>1613516.0300000003</v>
      </c>
      <c r="M31" s="17">
        <f t="shared" si="8"/>
        <v>1711278.09</v>
      </c>
      <c r="N31" s="17">
        <f t="shared" si="8"/>
        <v>1510983.99</v>
      </c>
      <c r="O31" s="17">
        <f t="shared" si="8"/>
        <v>1568523.1</v>
      </c>
      <c r="P31" s="17">
        <f t="shared" si="8"/>
        <v>1600340.73</v>
      </c>
      <c r="Q31" s="17">
        <f t="shared" si="8"/>
        <v>1633876.79</v>
      </c>
      <c r="R31" s="17">
        <f t="shared" si="8"/>
        <v>1568403.1199999999</v>
      </c>
      <c r="S31" s="17">
        <f t="shared" si="8"/>
        <v>1579513.29</v>
      </c>
      <c r="T31" s="17">
        <f t="shared" si="8"/>
        <v>1525219.69</v>
      </c>
      <c r="U31" s="17">
        <f t="shared" si="8"/>
        <v>1496118.81</v>
      </c>
      <c r="V31" s="17">
        <f t="shared" si="8"/>
        <v>1549693.02</v>
      </c>
      <c r="W31" s="17">
        <f t="shared" si="8"/>
        <v>1551755.69</v>
      </c>
      <c r="X31" s="17">
        <f t="shared" si="8"/>
        <v>1621895.04</v>
      </c>
      <c r="Y31" s="17">
        <f t="shared" si="8"/>
        <v>1660883.88</v>
      </c>
      <c r="Z31" s="17">
        <f t="shared" si="8"/>
        <v>1587373.35</v>
      </c>
      <c r="AA31" s="17">
        <f t="shared" si="8"/>
        <v>1751659.12</v>
      </c>
      <c r="AB31" s="17">
        <f t="shared" si="8"/>
        <v>1787499.23</v>
      </c>
      <c r="AC31" s="17">
        <f t="shared" si="8"/>
        <v>1862135.1600000001</v>
      </c>
      <c r="AD31" s="17">
        <f t="shared" si="8"/>
        <v>2031315.4400000002</v>
      </c>
      <c r="AE31" s="17">
        <f t="shared" si="8"/>
        <v>2107806.1100000003</v>
      </c>
      <c r="AF31" s="17">
        <f t="shared" si="8"/>
        <v>2155492.9000000004</v>
      </c>
      <c r="AG31" s="17">
        <f t="shared" si="8"/>
        <v>2199956.3600000003</v>
      </c>
      <c r="AH31" s="17">
        <f t="shared" si="8"/>
        <v>2258630.2000000002</v>
      </c>
      <c r="AI31" s="17">
        <f t="shared" si="8"/>
        <v>2297688.6800000002</v>
      </c>
      <c r="AJ31" s="17">
        <f t="shared" si="0"/>
        <v>1510983.99</v>
      </c>
      <c r="AK31" s="17">
        <f t="shared" si="1"/>
        <v>1587373.35</v>
      </c>
      <c r="AL31" s="17">
        <f t="shared" si="2"/>
        <v>2297688.6800000002</v>
      </c>
    </row>
    <row r="32" spans="1:38" x14ac:dyDescent="0.2">
      <c r="A32" s="16" t="s">
        <v>332</v>
      </c>
      <c r="B32" s="16" t="s">
        <v>331</v>
      </c>
      <c r="C32" s="17">
        <f t="shared" ref="C32:AI32" si="9">C27+C31</f>
        <v>2367397.1</v>
      </c>
      <c r="D32" s="17">
        <f t="shared" si="9"/>
        <v>2415681.21</v>
      </c>
      <c r="E32" s="17">
        <f t="shared" si="9"/>
        <v>2361491.33</v>
      </c>
      <c r="F32" s="17">
        <f t="shared" si="9"/>
        <v>2530111.3000000003</v>
      </c>
      <c r="G32" s="17">
        <f t="shared" si="9"/>
        <v>2606038.5</v>
      </c>
      <c r="H32" s="17">
        <f t="shared" si="9"/>
        <v>2448946.38</v>
      </c>
      <c r="I32" s="17">
        <f t="shared" si="9"/>
        <v>2346849</v>
      </c>
      <c r="J32" s="17">
        <f t="shared" si="9"/>
        <v>2461511.1100000003</v>
      </c>
      <c r="K32" s="17">
        <f t="shared" si="9"/>
        <v>2481528.62</v>
      </c>
      <c r="L32" s="17">
        <f t="shared" si="9"/>
        <v>2617379.62</v>
      </c>
      <c r="M32" s="17">
        <f t="shared" si="9"/>
        <v>2830062.8600000003</v>
      </c>
      <c r="N32" s="17">
        <f t="shared" si="9"/>
        <v>2510838.36</v>
      </c>
      <c r="O32" s="17">
        <f t="shared" si="9"/>
        <v>2542036.3600000003</v>
      </c>
      <c r="P32" s="17">
        <f t="shared" si="9"/>
        <v>2633608.34</v>
      </c>
      <c r="Q32" s="17">
        <f t="shared" si="9"/>
        <v>3035048.15</v>
      </c>
      <c r="R32" s="17">
        <f t="shared" si="9"/>
        <v>2986923.7199999997</v>
      </c>
      <c r="S32" s="17">
        <f t="shared" si="9"/>
        <v>3078524.55</v>
      </c>
      <c r="T32" s="17">
        <f t="shared" si="9"/>
        <v>2930176.88</v>
      </c>
      <c r="U32" s="17">
        <f t="shared" si="9"/>
        <v>2927817.44</v>
      </c>
      <c r="V32" s="17">
        <f t="shared" si="9"/>
        <v>2963662.76</v>
      </c>
      <c r="W32" s="17">
        <f t="shared" si="9"/>
        <v>2935556.1399999997</v>
      </c>
      <c r="X32" s="17">
        <f t="shared" si="9"/>
        <v>3065498.7800000003</v>
      </c>
      <c r="Y32" s="17">
        <f t="shared" si="9"/>
        <v>3223710.4099999997</v>
      </c>
      <c r="Z32" s="17">
        <f t="shared" si="9"/>
        <v>3103250.17</v>
      </c>
      <c r="AA32" s="17">
        <f t="shared" si="9"/>
        <v>3233889.8000000003</v>
      </c>
      <c r="AB32" s="17">
        <f t="shared" si="9"/>
        <v>3221230.78</v>
      </c>
      <c r="AC32" s="17">
        <f t="shared" si="9"/>
        <v>3308145.6</v>
      </c>
      <c r="AD32" s="17">
        <f t="shared" si="9"/>
        <v>3528796.2700000005</v>
      </c>
      <c r="AE32" s="17">
        <f t="shared" si="9"/>
        <v>3525971.2300000004</v>
      </c>
      <c r="AF32" s="17">
        <f t="shared" si="9"/>
        <v>3626219.6400000006</v>
      </c>
      <c r="AG32" s="17">
        <f t="shared" si="9"/>
        <v>3593851.62</v>
      </c>
      <c r="AH32" s="17">
        <f t="shared" si="9"/>
        <v>3695270.97</v>
      </c>
      <c r="AI32" s="17">
        <f t="shared" si="9"/>
        <v>3697356.0900000003</v>
      </c>
      <c r="AJ32" s="17">
        <f t="shared" si="0"/>
        <v>2510838.36</v>
      </c>
      <c r="AK32" s="17">
        <f t="shared" si="1"/>
        <v>3103250.17</v>
      </c>
      <c r="AL32" s="17">
        <f t="shared" si="2"/>
        <v>3697356.0900000003</v>
      </c>
    </row>
    <row r="33" spans="1:38" x14ac:dyDescent="0.2">
      <c r="A33" s="16" t="s">
        <v>529</v>
      </c>
      <c r="B33" s="16" t="s">
        <v>530</v>
      </c>
      <c r="C33" s="17">
        <f t="shared" ref="C33:AI33" si="10">ROUND(C18-C32,2)</f>
        <v>0</v>
      </c>
      <c r="D33" s="17">
        <f t="shared" si="10"/>
        <v>0</v>
      </c>
      <c r="E33" s="17">
        <f t="shared" si="10"/>
        <v>0</v>
      </c>
      <c r="F33" s="17">
        <f t="shared" si="10"/>
        <v>0</v>
      </c>
      <c r="G33" s="17">
        <f t="shared" si="10"/>
        <v>0</v>
      </c>
      <c r="H33" s="17">
        <f t="shared" si="10"/>
        <v>0</v>
      </c>
      <c r="I33" s="17">
        <f t="shared" si="10"/>
        <v>0</v>
      </c>
      <c r="J33" s="17">
        <f t="shared" si="10"/>
        <v>0</v>
      </c>
      <c r="K33" s="17">
        <f t="shared" si="10"/>
        <v>0</v>
      </c>
      <c r="L33" s="17">
        <f t="shared" si="10"/>
        <v>0</v>
      </c>
      <c r="M33" s="17">
        <f t="shared" si="10"/>
        <v>0</v>
      </c>
      <c r="N33" s="17">
        <f t="shared" si="10"/>
        <v>0</v>
      </c>
      <c r="O33" s="17">
        <f t="shared" si="10"/>
        <v>0</v>
      </c>
      <c r="P33" s="17">
        <f t="shared" si="10"/>
        <v>0</v>
      </c>
      <c r="Q33" s="17">
        <f t="shared" si="10"/>
        <v>0</v>
      </c>
      <c r="R33" s="17">
        <f t="shared" si="10"/>
        <v>0</v>
      </c>
      <c r="S33" s="17">
        <f t="shared" si="10"/>
        <v>0</v>
      </c>
      <c r="T33" s="17">
        <f t="shared" si="10"/>
        <v>0</v>
      </c>
      <c r="U33" s="17">
        <f t="shared" si="10"/>
        <v>0</v>
      </c>
      <c r="V33" s="17">
        <f t="shared" si="10"/>
        <v>0</v>
      </c>
      <c r="W33" s="17">
        <f t="shared" si="10"/>
        <v>0</v>
      </c>
      <c r="X33" s="17">
        <f t="shared" si="10"/>
        <v>0</v>
      </c>
      <c r="Y33" s="17">
        <f t="shared" si="10"/>
        <v>0</v>
      </c>
      <c r="Z33" s="17">
        <f t="shared" si="10"/>
        <v>0</v>
      </c>
      <c r="AA33" s="17">
        <f t="shared" si="10"/>
        <v>0</v>
      </c>
      <c r="AB33" s="17">
        <f t="shared" si="10"/>
        <v>0</v>
      </c>
      <c r="AC33" s="17">
        <f t="shared" si="10"/>
        <v>0</v>
      </c>
      <c r="AD33" s="17">
        <f t="shared" si="10"/>
        <v>0</v>
      </c>
      <c r="AE33" s="17">
        <f t="shared" si="10"/>
        <v>0</v>
      </c>
      <c r="AF33" s="17">
        <f t="shared" si="10"/>
        <v>0</v>
      </c>
      <c r="AG33" s="17">
        <f t="shared" si="10"/>
        <v>0</v>
      </c>
      <c r="AH33" s="17">
        <f t="shared" si="10"/>
        <v>0</v>
      </c>
      <c r="AI33" s="17">
        <f t="shared" si="10"/>
        <v>0</v>
      </c>
      <c r="AJ33" s="17">
        <f t="shared" si="0"/>
        <v>0</v>
      </c>
      <c r="AK33" s="17">
        <f t="shared" si="1"/>
        <v>0</v>
      </c>
      <c r="AL33" s="17">
        <f t="shared" si="2"/>
        <v>0</v>
      </c>
    </row>
  </sheetData>
  <mergeCells count="1">
    <mergeCell ref="A1:A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2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19" x14ac:dyDescent="0.25">
      <c r="A2" s="1" t="s">
        <v>531</v>
      </c>
    </row>
    <row r="3" spans="1:40" x14ac:dyDescent="0.2">
      <c r="A3" s="2" t="s">
        <v>481</v>
      </c>
    </row>
    <row r="5" spans="1:40" ht="32" x14ac:dyDescent="0.2">
      <c r="A5" s="6" t="s">
        <v>153</v>
      </c>
      <c r="B5" s="7" t="s">
        <v>28</v>
      </c>
      <c r="C5" s="7" t="s">
        <v>482</v>
      </c>
      <c r="D5" s="7" t="s">
        <v>483</v>
      </c>
      <c r="E5" s="7" t="s">
        <v>484</v>
      </c>
      <c r="F5" s="7" t="s">
        <v>485</v>
      </c>
      <c r="G5" s="7" t="s">
        <v>486</v>
      </c>
      <c r="H5" s="7" t="s">
        <v>487</v>
      </c>
      <c r="I5" s="7" t="s">
        <v>488</v>
      </c>
      <c r="J5" s="7" t="s">
        <v>489</v>
      </c>
      <c r="K5" s="7" t="s">
        <v>490</v>
      </c>
      <c r="L5" s="7" t="s">
        <v>491</v>
      </c>
      <c r="M5" s="7" t="s">
        <v>492</v>
      </c>
      <c r="N5" s="7" t="s">
        <v>493</v>
      </c>
      <c r="O5" s="7" t="s">
        <v>494</v>
      </c>
      <c r="P5" s="7" t="s">
        <v>495</v>
      </c>
      <c r="Q5" s="7" t="s">
        <v>496</v>
      </c>
      <c r="R5" s="7" t="s">
        <v>497</v>
      </c>
      <c r="S5" s="7" t="s">
        <v>498</v>
      </c>
      <c r="T5" s="7" t="s">
        <v>499</v>
      </c>
      <c r="U5" s="7" t="s">
        <v>500</v>
      </c>
      <c r="V5" s="7" t="s">
        <v>501</v>
      </c>
      <c r="W5" s="7" t="s">
        <v>502</v>
      </c>
      <c r="X5" s="7" t="s">
        <v>503</v>
      </c>
      <c r="Y5" s="7" t="s">
        <v>504</v>
      </c>
      <c r="Z5" s="7" t="s">
        <v>505</v>
      </c>
      <c r="AA5" s="7" t="s">
        <v>506</v>
      </c>
      <c r="AB5" s="7" t="s">
        <v>507</v>
      </c>
      <c r="AC5" s="7" t="s">
        <v>508</v>
      </c>
      <c r="AD5" s="7" t="s">
        <v>509</v>
      </c>
      <c r="AE5" s="7" t="s">
        <v>510</v>
      </c>
      <c r="AF5" s="7" t="s">
        <v>511</v>
      </c>
      <c r="AG5" s="7" t="s">
        <v>512</v>
      </c>
      <c r="AH5" s="7" t="s">
        <v>513</v>
      </c>
      <c r="AI5" s="7" t="s">
        <v>514</v>
      </c>
      <c r="AJ5" s="7" t="s">
        <v>515</v>
      </c>
      <c r="AK5" s="7" t="s">
        <v>516</v>
      </c>
      <c r="AL5" s="7" t="s">
        <v>517</v>
      </c>
    </row>
    <row r="6" spans="1:40" x14ac:dyDescent="0.2">
      <c r="A6" t="s">
        <v>277</v>
      </c>
      <c r="B6" s="8" t="s">
        <v>276</v>
      </c>
      <c r="C6" s="15">
        <v>303.42</v>
      </c>
      <c r="D6" s="15">
        <v>83254.289999999994</v>
      </c>
      <c r="E6" s="15">
        <v>25606.799999999999</v>
      </c>
      <c r="F6" s="15">
        <v>96286.34</v>
      </c>
      <c r="G6" s="15">
        <v>114369.24</v>
      </c>
      <c r="H6" s="15">
        <v>-32438.81</v>
      </c>
      <c r="I6" s="15">
        <v>-56749.03</v>
      </c>
      <c r="J6" s="15">
        <v>-8057.72</v>
      </c>
      <c r="K6" s="15">
        <v>59274.720000000001</v>
      </c>
      <c r="L6" s="15">
        <v>90747.87</v>
      </c>
      <c r="M6" s="15">
        <v>97762.06</v>
      </c>
      <c r="N6" s="15">
        <v>-21294.1</v>
      </c>
      <c r="O6" s="15">
        <v>57539.11</v>
      </c>
      <c r="P6" s="15">
        <v>31817.63</v>
      </c>
      <c r="Q6" s="15">
        <v>33536.06</v>
      </c>
      <c r="R6" s="15">
        <v>-65473.67</v>
      </c>
      <c r="S6" s="15">
        <v>11110.17</v>
      </c>
      <c r="T6" s="15">
        <v>-54293.599999999999</v>
      </c>
      <c r="U6" s="15">
        <v>-29100.880000000001</v>
      </c>
      <c r="V6" s="15">
        <v>53574.21</v>
      </c>
      <c r="W6" s="15">
        <v>2062.67</v>
      </c>
      <c r="X6" s="15">
        <v>70139.350000000006</v>
      </c>
      <c r="Y6" s="15">
        <v>38988.839999999997</v>
      </c>
      <c r="Z6" s="15">
        <v>-23510.53</v>
      </c>
      <c r="AA6" s="15">
        <v>164285.76999999999</v>
      </c>
      <c r="AB6" s="15">
        <v>35840.11</v>
      </c>
      <c r="AC6" s="15">
        <v>74635.929999999993</v>
      </c>
      <c r="AD6" s="15">
        <v>169180.28</v>
      </c>
      <c r="AE6" s="15">
        <v>76490.67</v>
      </c>
      <c r="AF6" s="15">
        <v>47686.79</v>
      </c>
      <c r="AG6" s="15">
        <v>44463.46</v>
      </c>
      <c r="AH6" s="15">
        <v>58673.84</v>
      </c>
      <c r="AI6" s="15">
        <v>39058.480000000003</v>
      </c>
      <c r="AJ6" s="15">
        <f t="shared" ref="AJ6:AJ20" si="0">SUM(C6:N6)</f>
        <v>449065.08</v>
      </c>
      <c r="AK6" s="15">
        <f t="shared" ref="AK6:AK20" si="1">SUM(O6:Z6)</f>
        <v>126389.36000000002</v>
      </c>
      <c r="AL6" s="15">
        <f t="shared" ref="AL6:AL20" si="2">SUM(AA6:AI6)</f>
        <v>710315.32999999984</v>
      </c>
    </row>
    <row r="7" spans="1:40" x14ac:dyDescent="0.2">
      <c r="A7" t="s">
        <v>267</v>
      </c>
      <c r="B7" s="8" t="s">
        <v>266</v>
      </c>
      <c r="C7" s="15">
        <v>15625</v>
      </c>
      <c r="D7" s="15">
        <v>15625</v>
      </c>
      <c r="E7" s="15">
        <v>15625</v>
      </c>
      <c r="F7" s="15">
        <v>15625</v>
      </c>
      <c r="G7" s="15">
        <v>15625</v>
      </c>
      <c r="H7" s="15">
        <v>15625</v>
      </c>
      <c r="I7" s="15">
        <v>15625</v>
      </c>
      <c r="J7" s="15">
        <v>15625</v>
      </c>
      <c r="K7" s="15">
        <v>15625</v>
      </c>
      <c r="L7" s="15">
        <v>16758.330000000002</v>
      </c>
      <c r="M7" s="15">
        <v>16758.330000000002</v>
      </c>
      <c r="N7" s="15">
        <v>16758.330000000002</v>
      </c>
      <c r="O7" s="15">
        <v>16758.330000000002</v>
      </c>
      <c r="P7" s="15">
        <v>16758.330000000002</v>
      </c>
      <c r="Q7" s="15">
        <v>16758.330000000002</v>
      </c>
      <c r="R7" s="15">
        <v>20175</v>
      </c>
      <c r="S7" s="15">
        <v>23016.67</v>
      </c>
      <c r="T7" s="15">
        <v>23016.67</v>
      </c>
      <c r="U7" s="15">
        <v>23016.67</v>
      </c>
      <c r="V7" s="15">
        <v>23016.67</v>
      </c>
      <c r="W7" s="15">
        <v>23016.67</v>
      </c>
      <c r="X7" s="15">
        <v>22016.67</v>
      </c>
      <c r="Y7" s="15">
        <v>22016.67</v>
      </c>
      <c r="Z7" s="15">
        <v>22016.67</v>
      </c>
      <c r="AA7" s="15">
        <v>22016.67</v>
      </c>
      <c r="AB7" s="15">
        <v>22016.67</v>
      </c>
      <c r="AC7" s="15">
        <v>22454.17</v>
      </c>
      <c r="AD7" s="15">
        <v>22454.17</v>
      </c>
      <c r="AE7" s="15">
        <v>22454.17</v>
      </c>
      <c r="AF7" s="15">
        <v>23245.84</v>
      </c>
      <c r="AG7" s="15">
        <v>23245.84</v>
      </c>
      <c r="AH7" s="15">
        <v>23245.84</v>
      </c>
      <c r="AI7" s="15">
        <v>23245.84</v>
      </c>
      <c r="AJ7" s="15">
        <f t="shared" si="0"/>
        <v>190899.99000000005</v>
      </c>
      <c r="AK7" s="15">
        <f t="shared" si="1"/>
        <v>251583.34999999992</v>
      </c>
      <c r="AL7" s="15">
        <f t="shared" si="2"/>
        <v>204379.21</v>
      </c>
    </row>
    <row r="8" spans="1:40" x14ac:dyDescent="0.2">
      <c r="A8" t="s">
        <v>532</v>
      </c>
      <c r="B8" s="8" t="s">
        <v>336</v>
      </c>
      <c r="C8" s="15">
        <v>15841.64</v>
      </c>
      <c r="D8" s="15">
        <v>-146129.4</v>
      </c>
      <c r="E8" s="15">
        <v>115945.49</v>
      </c>
      <c r="F8" s="15">
        <v>-32749.48</v>
      </c>
      <c r="G8" s="15">
        <v>-2162.04</v>
      </c>
      <c r="H8" s="15">
        <v>201472.15</v>
      </c>
      <c r="I8" s="15">
        <v>41481.379999999997</v>
      </c>
      <c r="J8" s="15">
        <v>-87721.08</v>
      </c>
      <c r="K8" s="15">
        <v>-233634.89</v>
      </c>
      <c r="L8" s="15">
        <v>174810.22</v>
      </c>
      <c r="M8" s="15">
        <v>-16921.2</v>
      </c>
      <c r="N8" s="15">
        <v>82011.05</v>
      </c>
      <c r="O8" s="15">
        <v>-167055.51999999999</v>
      </c>
      <c r="P8" s="15">
        <v>-69851.009999999995</v>
      </c>
      <c r="Q8" s="15">
        <v>6299.14</v>
      </c>
      <c r="R8" s="15">
        <v>176644.74</v>
      </c>
      <c r="S8" s="15">
        <v>-88688.34</v>
      </c>
      <c r="T8" s="15">
        <v>104328.64</v>
      </c>
      <c r="U8" s="15">
        <v>-179917.96</v>
      </c>
      <c r="V8" s="15">
        <v>-36766.36</v>
      </c>
      <c r="W8" s="15">
        <v>-39148.81</v>
      </c>
      <c r="X8" s="15">
        <v>25520.29</v>
      </c>
      <c r="Y8" s="15">
        <v>106799.75</v>
      </c>
      <c r="Z8" s="15">
        <v>13510.81</v>
      </c>
      <c r="AA8" s="15">
        <v>-338265.29</v>
      </c>
      <c r="AB8" s="15">
        <v>100876.33</v>
      </c>
      <c r="AC8" s="15">
        <v>150072.37</v>
      </c>
      <c r="AD8" s="15">
        <v>-96669.52</v>
      </c>
      <c r="AE8" s="15">
        <v>135121.99</v>
      </c>
      <c r="AF8" s="15">
        <v>52148.92</v>
      </c>
      <c r="AG8" s="15">
        <v>-183762.48</v>
      </c>
      <c r="AH8" s="15">
        <v>30198.04</v>
      </c>
      <c r="AI8" s="15">
        <v>29186.29</v>
      </c>
      <c r="AJ8" s="15">
        <f t="shared" si="0"/>
        <v>112243.84000000001</v>
      </c>
      <c r="AK8" s="15">
        <f t="shared" si="1"/>
        <v>-148324.62999999995</v>
      </c>
      <c r="AL8" s="15">
        <f t="shared" si="2"/>
        <v>-121093.34999999998</v>
      </c>
    </row>
    <row r="9" spans="1:40" x14ac:dyDescent="0.2">
      <c r="A9" t="s">
        <v>339</v>
      </c>
      <c r="B9" s="8" t="s">
        <v>338</v>
      </c>
      <c r="C9" s="15">
        <v>2831.34</v>
      </c>
      <c r="D9" s="15">
        <v>34314.86</v>
      </c>
      <c r="E9" s="15">
        <v>-21627.47</v>
      </c>
      <c r="F9" s="15">
        <v>44803.49</v>
      </c>
      <c r="G9" s="15">
        <v>-3440.28</v>
      </c>
      <c r="H9" s="15">
        <v>832.26</v>
      </c>
      <c r="I9" s="15">
        <v>-8345</v>
      </c>
      <c r="J9" s="15">
        <v>-66286.77</v>
      </c>
      <c r="K9" s="15">
        <v>53419.24</v>
      </c>
      <c r="L9" s="15">
        <v>17820.8</v>
      </c>
      <c r="M9" s="15">
        <v>-40479</v>
      </c>
      <c r="N9" s="15">
        <v>-16267.89</v>
      </c>
      <c r="O9" s="15">
        <v>28816.97</v>
      </c>
      <c r="P9" s="15">
        <v>17800.84</v>
      </c>
      <c r="Q9" s="15">
        <v>-8328.77</v>
      </c>
      <c r="R9" s="15">
        <v>-12261.33</v>
      </c>
      <c r="S9" s="15">
        <v>-1230.28</v>
      </c>
      <c r="T9" s="15">
        <v>-6715.83</v>
      </c>
      <c r="U9" s="15">
        <v>2624.82</v>
      </c>
      <c r="V9" s="15">
        <v>-12333.79</v>
      </c>
      <c r="W9" s="15">
        <v>21943.62</v>
      </c>
      <c r="X9" s="15">
        <v>-26470.78</v>
      </c>
      <c r="Y9" s="15">
        <v>-29224.77</v>
      </c>
      <c r="Z9" s="15">
        <v>-100839.03</v>
      </c>
      <c r="AA9" s="15">
        <v>99557.45</v>
      </c>
      <c r="AB9" s="15">
        <v>15846.42</v>
      </c>
      <c r="AC9" s="15">
        <v>9500.9699999999993</v>
      </c>
      <c r="AD9" s="15">
        <v>18306.71</v>
      </c>
      <c r="AE9" s="15">
        <v>12120.22</v>
      </c>
      <c r="AF9" s="15">
        <v>-49245.81</v>
      </c>
      <c r="AG9" s="15">
        <v>28614.28</v>
      </c>
      <c r="AH9" s="15">
        <v>-11237.83</v>
      </c>
      <c r="AI9" s="15">
        <v>10808.76</v>
      </c>
      <c r="AJ9" s="15">
        <f t="shared" si="0"/>
        <v>-2424.4200000000128</v>
      </c>
      <c r="AK9" s="15">
        <f t="shared" si="1"/>
        <v>-126218.33000000002</v>
      </c>
      <c r="AL9" s="15">
        <f t="shared" si="2"/>
        <v>134271.16999999998</v>
      </c>
    </row>
    <row r="10" spans="1:40" x14ac:dyDescent="0.2">
      <c r="A10" t="s">
        <v>341</v>
      </c>
      <c r="B10" s="8" t="s">
        <v>340</v>
      </c>
      <c r="C10" s="15">
        <v>-87988.38</v>
      </c>
      <c r="D10" s="15">
        <v>19204.7</v>
      </c>
      <c r="E10" s="15">
        <v>24537.84</v>
      </c>
      <c r="F10" s="15">
        <v>-48636.67</v>
      </c>
      <c r="G10" s="15">
        <v>80596.91</v>
      </c>
      <c r="H10" s="15">
        <v>21148.01</v>
      </c>
      <c r="I10" s="15">
        <v>-16307.67</v>
      </c>
      <c r="J10" s="15">
        <v>-60921.97</v>
      </c>
      <c r="K10" s="15">
        <v>6422.77</v>
      </c>
      <c r="L10" s="15">
        <v>10317.620000000001</v>
      </c>
      <c r="M10" s="15">
        <v>991.22</v>
      </c>
      <c r="N10" s="15">
        <v>-7381.05</v>
      </c>
      <c r="O10" s="15">
        <v>27639.98</v>
      </c>
      <c r="P10" s="15">
        <v>-25762.57</v>
      </c>
      <c r="Q10" s="15">
        <v>29099.63</v>
      </c>
      <c r="R10" s="15">
        <v>-49813.17</v>
      </c>
      <c r="S10" s="15">
        <v>23939.65</v>
      </c>
      <c r="T10" s="15">
        <v>-13349.75</v>
      </c>
      <c r="U10" s="15">
        <v>-47642.76</v>
      </c>
      <c r="V10" s="15">
        <v>65870.880000000005</v>
      </c>
      <c r="W10" s="15">
        <v>-10125</v>
      </c>
      <c r="X10" s="15">
        <v>29393.49</v>
      </c>
      <c r="Y10" s="15">
        <v>-85089.33</v>
      </c>
      <c r="Z10" s="15">
        <v>-44171.6</v>
      </c>
      <c r="AA10" s="15">
        <v>52458.64</v>
      </c>
      <c r="AB10" s="15">
        <v>29806.51</v>
      </c>
      <c r="AC10" s="15">
        <v>18934.46</v>
      </c>
      <c r="AD10" s="15">
        <v>-24419.47</v>
      </c>
      <c r="AE10" s="15">
        <v>30540.51</v>
      </c>
      <c r="AF10" s="15">
        <v>16239.97</v>
      </c>
      <c r="AG10" s="15">
        <v>-58181.26</v>
      </c>
      <c r="AH10" s="15">
        <v>18367.87</v>
      </c>
      <c r="AI10" s="15">
        <v>15512.23</v>
      </c>
      <c r="AJ10" s="15">
        <f t="shared" si="0"/>
        <v>-58016.670000000006</v>
      </c>
      <c r="AK10" s="15">
        <f t="shared" si="1"/>
        <v>-100010.54999999999</v>
      </c>
      <c r="AL10" s="15">
        <f t="shared" si="2"/>
        <v>99259.459999999977</v>
      </c>
    </row>
    <row r="11" spans="1:40" x14ac:dyDescent="0.2">
      <c r="A11" t="s">
        <v>343</v>
      </c>
      <c r="B11" s="8" t="s">
        <v>342</v>
      </c>
      <c r="C11" s="15">
        <v>124092.68</v>
      </c>
      <c r="D11" s="15">
        <v>-54990.91</v>
      </c>
      <c r="E11" s="15">
        <v>-26772.78</v>
      </c>
      <c r="F11" s="15">
        <v>92271.73</v>
      </c>
      <c r="G11" s="15">
        <v>-69797.16</v>
      </c>
      <c r="H11" s="15">
        <v>-114396.19</v>
      </c>
      <c r="I11" s="15">
        <v>16108.19</v>
      </c>
      <c r="J11" s="15">
        <v>112846.9</v>
      </c>
      <c r="K11" s="15">
        <v>-50531.5</v>
      </c>
      <c r="L11" s="15">
        <v>55894.51</v>
      </c>
      <c r="M11" s="15">
        <v>94943.54</v>
      </c>
      <c r="N11" s="15">
        <v>-121289.89</v>
      </c>
      <c r="O11" s="15">
        <v>-6265.04</v>
      </c>
      <c r="P11" s="15">
        <v>57179.040000000001</v>
      </c>
      <c r="Q11" s="15">
        <v>-31885.7</v>
      </c>
      <c r="R11" s="15">
        <v>74095.78</v>
      </c>
      <c r="S11" s="15">
        <v>46267.89</v>
      </c>
      <c r="T11" s="15">
        <v>-86494.77</v>
      </c>
      <c r="U11" s="15">
        <v>55039.87</v>
      </c>
      <c r="V11" s="15">
        <v>-31490.799999999999</v>
      </c>
      <c r="W11" s="15">
        <v>-36271.230000000003</v>
      </c>
      <c r="X11" s="15">
        <v>111161.63</v>
      </c>
      <c r="Y11" s="15">
        <v>127738.3</v>
      </c>
      <c r="Z11" s="15">
        <v>-64094.46</v>
      </c>
      <c r="AA11" s="15">
        <v>-28943.38</v>
      </c>
      <c r="AB11" s="15">
        <v>-41853.919999999998</v>
      </c>
      <c r="AC11" s="15">
        <v>-16632.71</v>
      </c>
      <c r="AD11" s="15">
        <v>121451.14</v>
      </c>
      <c r="AE11" s="15">
        <v>-100918.34</v>
      </c>
      <c r="AF11" s="15">
        <v>11835.67</v>
      </c>
      <c r="AG11" s="15">
        <v>-24301.39</v>
      </c>
      <c r="AH11" s="15">
        <v>20422.25</v>
      </c>
      <c r="AI11" s="15">
        <v>-54041.26</v>
      </c>
      <c r="AJ11" s="15">
        <f t="shared" si="0"/>
        <v>58379.119999999952</v>
      </c>
      <c r="AK11" s="15">
        <f t="shared" si="1"/>
        <v>214980.51000000004</v>
      </c>
      <c r="AL11" s="15">
        <f t="shared" si="2"/>
        <v>-112981.94</v>
      </c>
    </row>
    <row r="12" spans="1:40" x14ac:dyDescent="0.2">
      <c r="A12" t="s">
        <v>345</v>
      </c>
      <c r="B12" s="8" t="s">
        <v>344</v>
      </c>
      <c r="C12" s="15">
        <v>-88235.38</v>
      </c>
      <c r="D12" s="15">
        <v>36170.730000000003</v>
      </c>
      <c r="E12" s="15">
        <v>-36873.9</v>
      </c>
      <c r="F12" s="15">
        <v>-3788.1</v>
      </c>
      <c r="G12" s="15">
        <v>47505.120000000003</v>
      </c>
      <c r="H12" s="15">
        <v>5892.88</v>
      </c>
      <c r="I12" s="15">
        <v>-45306.54</v>
      </c>
      <c r="J12" s="15">
        <v>26022.93</v>
      </c>
      <c r="K12" s="15">
        <v>27424.29</v>
      </c>
      <c r="L12" s="15">
        <v>5358.62</v>
      </c>
      <c r="M12" s="15">
        <v>36127.64</v>
      </c>
      <c r="N12" s="15">
        <v>18509.490000000002</v>
      </c>
      <c r="O12" s="15">
        <v>-104314.47</v>
      </c>
      <c r="P12" s="15">
        <v>18947.310000000001</v>
      </c>
      <c r="Q12" s="15">
        <v>-33838.550000000003</v>
      </c>
      <c r="R12" s="15">
        <v>-33647.629999999997</v>
      </c>
      <c r="S12" s="15">
        <v>60011.16</v>
      </c>
      <c r="T12" s="15">
        <v>17456</v>
      </c>
      <c r="U12" s="15">
        <v>-3283.13</v>
      </c>
      <c r="V12" s="15">
        <v>38777.21</v>
      </c>
      <c r="W12" s="15">
        <v>31117.24</v>
      </c>
      <c r="X12" s="15">
        <v>-26343.040000000001</v>
      </c>
      <c r="Y12" s="15">
        <v>16499.79</v>
      </c>
      <c r="Z12" s="15">
        <v>42160.05</v>
      </c>
      <c r="AA12" s="15">
        <v>-87763.62</v>
      </c>
      <c r="AB12" s="15">
        <v>18633.05</v>
      </c>
      <c r="AC12" s="15">
        <v>54189.86</v>
      </c>
      <c r="AD12" s="15">
        <v>-44702.49</v>
      </c>
      <c r="AE12" s="15">
        <v>46880.89</v>
      </c>
      <c r="AF12" s="15">
        <v>66004.210000000006</v>
      </c>
      <c r="AG12" s="15">
        <v>-27251.83</v>
      </c>
      <c r="AH12" s="15">
        <v>47601.52</v>
      </c>
      <c r="AI12" s="15">
        <v>42346.16</v>
      </c>
      <c r="AJ12" s="15">
        <f t="shared" si="0"/>
        <v>28807.78</v>
      </c>
      <c r="AK12" s="15">
        <f t="shared" si="1"/>
        <v>23541.94000000001</v>
      </c>
      <c r="AL12" s="15">
        <f t="shared" si="2"/>
        <v>115937.75000000001</v>
      </c>
    </row>
    <row r="13" spans="1:40" x14ac:dyDescent="0.2">
      <c r="A13" s="16" t="s">
        <v>347</v>
      </c>
      <c r="B13" s="16" t="s">
        <v>346</v>
      </c>
      <c r="C13" s="17">
        <f t="shared" ref="C13:AI13" si="3">C6+C7+C8+C9+C10+C11+C12</f>
        <v>-17529.680000000022</v>
      </c>
      <c r="D13" s="17">
        <f t="shared" si="3"/>
        <v>-12550.730000000003</v>
      </c>
      <c r="E13" s="17">
        <f t="shared" si="3"/>
        <v>96440.98000000001</v>
      </c>
      <c r="F13" s="17">
        <f t="shared" si="3"/>
        <v>163812.31</v>
      </c>
      <c r="G13" s="17">
        <f t="shared" si="3"/>
        <v>182696.79</v>
      </c>
      <c r="H13" s="17">
        <f t="shared" si="3"/>
        <v>98135.300000000017</v>
      </c>
      <c r="I13" s="17">
        <f t="shared" si="3"/>
        <v>-53493.67</v>
      </c>
      <c r="J13" s="17">
        <f t="shared" si="3"/>
        <v>-68492.710000000021</v>
      </c>
      <c r="K13" s="17">
        <f t="shared" si="3"/>
        <v>-122000.37000000002</v>
      </c>
      <c r="L13" s="17">
        <f t="shared" si="3"/>
        <v>371707.97</v>
      </c>
      <c r="M13" s="17">
        <f t="shared" si="3"/>
        <v>189182.59000000003</v>
      </c>
      <c r="N13" s="17">
        <f t="shared" si="3"/>
        <v>-48954.06</v>
      </c>
      <c r="O13" s="17">
        <f t="shared" si="3"/>
        <v>-146880.63999999998</v>
      </c>
      <c r="P13" s="17">
        <f t="shared" si="3"/>
        <v>46889.570000000014</v>
      </c>
      <c r="Q13" s="17">
        <f t="shared" si="3"/>
        <v>11640.14</v>
      </c>
      <c r="R13" s="17">
        <f t="shared" si="3"/>
        <v>109719.72</v>
      </c>
      <c r="S13" s="17">
        <f t="shared" si="3"/>
        <v>74426.920000000013</v>
      </c>
      <c r="T13" s="17">
        <f t="shared" si="3"/>
        <v>-16052.640000000014</v>
      </c>
      <c r="U13" s="17">
        <f t="shared" si="3"/>
        <v>-179263.37</v>
      </c>
      <c r="V13" s="17">
        <f t="shared" si="3"/>
        <v>100648.02000000002</v>
      </c>
      <c r="W13" s="17">
        <f t="shared" si="3"/>
        <v>-7404.84</v>
      </c>
      <c r="X13" s="17">
        <f t="shared" si="3"/>
        <v>205417.61000000002</v>
      </c>
      <c r="Y13" s="17">
        <f t="shared" si="3"/>
        <v>197729.25000000003</v>
      </c>
      <c r="Z13" s="17">
        <f t="shared" si="3"/>
        <v>-154928.08999999997</v>
      </c>
      <c r="AA13" s="17">
        <f t="shared" si="3"/>
        <v>-116653.75999999998</v>
      </c>
      <c r="AB13" s="17">
        <f t="shared" si="3"/>
        <v>181165.16999999998</v>
      </c>
      <c r="AC13" s="17">
        <f t="shared" si="3"/>
        <v>313155.05</v>
      </c>
      <c r="AD13" s="17">
        <f t="shared" si="3"/>
        <v>165600.82</v>
      </c>
      <c r="AE13" s="17">
        <f t="shared" si="3"/>
        <v>222690.11</v>
      </c>
      <c r="AF13" s="17">
        <f t="shared" si="3"/>
        <v>167915.59000000003</v>
      </c>
      <c r="AG13" s="17">
        <f t="shared" si="3"/>
        <v>-197173.38</v>
      </c>
      <c r="AH13" s="17">
        <f t="shared" si="3"/>
        <v>187271.53</v>
      </c>
      <c r="AI13" s="17">
        <f t="shared" si="3"/>
        <v>106116.5</v>
      </c>
      <c r="AJ13" s="17">
        <f t="shared" si="0"/>
        <v>778954.72</v>
      </c>
      <c r="AK13" s="17">
        <f t="shared" si="1"/>
        <v>241941.65000000014</v>
      </c>
      <c r="AL13" s="17">
        <f t="shared" si="2"/>
        <v>1030087.63</v>
      </c>
    </row>
    <row r="14" spans="1:40" x14ac:dyDescent="0.2">
      <c r="A14" t="s">
        <v>349</v>
      </c>
      <c r="B14" s="8" t="s">
        <v>533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-68000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-410000</v>
      </c>
      <c r="R14" s="15">
        <v>-263000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-42000</v>
      </c>
      <c r="AC14" s="15">
        <v>0</v>
      </c>
      <c r="AD14" s="15">
        <v>0</v>
      </c>
      <c r="AE14" s="15">
        <v>-95000</v>
      </c>
      <c r="AF14" s="15">
        <v>0</v>
      </c>
      <c r="AG14" s="15">
        <v>0</v>
      </c>
      <c r="AH14" s="15">
        <v>0</v>
      </c>
      <c r="AI14" s="15">
        <v>0</v>
      </c>
      <c r="AJ14" s="15">
        <f t="shared" si="0"/>
        <v>-68000</v>
      </c>
      <c r="AK14" s="15">
        <f t="shared" si="1"/>
        <v>-673000</v>
      </c>
      <c r="AL14" s="15">
        <f t="shared" si="2"/>
        <v>-137000</v>
      </c>
    </row>
    <row r="15" spans="1:40" x14ac:dyDescent="0.2">
      <c r="A15" s="16" t="s">
        <v>534</v>
      </c>
      <c r="B15" s="16" t="s">
        <v>348</v>
      </c>
      <c r="C15" s="17">
        <f t="shared" ref="C15:AI15" si="4">C14</f>
        <v>0</v>
      </c>
      <c r="D15" s="17">
        <f t="shared" si="4"/>
        <v>0</v>
      </c>
      <c r="E15" s="17">
        <f t="shared" si="4"/>
        <v>0</v>
      </c>
      <c r="F15" s="17">
        <f t="shared" si="4"/>
        <v>0</v>
      </c>
      <c r="G15" s="17">
        <f t="shared" si="4"/>
        <v>0</v>
      </c>
      <c r="H15" s="17">
        <f t="shared" si="4"/>
        <v>0</v>
      </c>
      <c r="I15" s="17">
        <f t="shared" si="4"/>
        <v>0</v>
      </c>
      <c r="J15" s="17">
        <f t="shared" si="4"/>
        <v>0</v>
      </c>
      <c r="K15" s="17">
        <f t="shared" si="4"/>
        <v>-68000</v>
      </c>
      <c r="L15" s="17">
        <f t="shared" si="4"/>
        <v>0</v>
      </c>
      <c r="M15" s="17">
        <f t="shared" si="4"/>
        <v>0</v>
      </c>
      <c r="N15" s="17">
        <f t="shared" si="4"/>
        <v>0</v>
      </c>
      <c r="O15" s="17">
        <f t="shared" si="4"/>
        <v>0</v>
      </c>
      <c r="P15" s="17">
        <f t="shared" si="4"/>
        <v>0</v>
      </c>
      <c r="Q15" s="17">
        <f t="shared" si="4"/>
        <v>-410000</v>
      </c>
      <c r="R15" s="17">
        <f t="shared" si="4"/>
        <v>-263000</v>
      </c>
      <c r="S15" s="17">
        <f t="shared" si="4"/>
        <v>0</v>
      </c>
      <c r="T15" s="17">
        <f t="shared" si="4"/>
        <v>0</v>
      </c>
      <c r="U15" s="17">
        <f t="shared" si="4"/>
        <v>0</v>
      </c>
      <c r="V15" s="17">
        <f t="shared" si="4"/>
        <v>0</v>
      </c>
      <c r="W15" s="17">
        <f t="shared" si="4"/>
        <v>0</v>
      </c>
      <c r="X15" s="17">
        <f t="shared" si="4"/>
        <v>0</v>
      </c>
      <c r="Y15" s="17">
        <f t="shared" si="4"/>
        <v>0</v>
      </c>
      <c r="Z15" s="17">
        <f t="shared" si="4"/>
        <v>0</v>
      </c>
      <c r="AA15" s="17">
        <f t="shared" si="4"/>
        <v>0</v>
      </c>
      <c r="AB15" s="17">
        <f t="shared" si="4"/>
        <v>-42000</v>
      </c>
      <c r="AC15" s="17">
        <f t="shared" si="4"/>
        <v>0</v>
      </c>
      <c r="AD15" s="17">
        <f t="shared" si="4"/>
        <v>0</v>
      </c>
      <c r="AE15" s="17">
        <f t="shared" si="4"/>
        <v>-95000</v>
      </c>
      <c r="AF15" s="17">
        <f t="shared" si="4"/>
        <v>0</v>
      </c>
      <c r="AG15" s="17">
        <f t="shared" si="4"/>
        <v>0</v>
      </c>
      <c r="AH15" s="17">
        <f t="shared" si="4"/>
        <v>0</v>
      </c>
      <c r="AI15" s="17">
        <f t="shared" si="4"/>
        <v>0</v>
      </c>
      <c r="AJ15" s="17">
        <f t="shared" si="0"/>
        <v>-68000</v>
      </c>
      <c r="AK15" s="17">
        <f t="shared" si="1"/>
        <v>-673000</v>
      </c>
      <c r="AL15" s="17">
        <f t="shared" si="2"/>
        <v>-137000</v>
      </c>
    </row>
    <row r="16" spans="1:40" x14ac:dyDescent="0.2">
      <c r="A16" t="s">
        <v>535</v>
      </c>
      <c r="B16" s="8" t="s">
        <v>536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450000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f t="shared" si="0"/>
        <v>0</v>
      </c>
      <c r="AK16" s="15">
        <f t="shared" si="1"/>
        <v>450000</v>
      </c>
      <c r="AL16" s="15">
        <f t="shared" si="2"/>
        <v>0</v>
      </c>
    </row>
    <row r="17" spans="1:38" x14ac:dyDescent="0.2">
      <c r="A17" t="s">
        <v>537</v>
      </c>
      <c r="B17" s="8" t="s">
        <v>538</v>
      </c>
      <c r="C17" s="15">
        <v>-8750</v>
      </c>
      <c r="D17" s="15">
        <v>-8750</v>
      </c>
      <c r="E17" s="15">
        <v>-8750</v>
      </c>
      <c r="F17" s="15">
        <v>-8750</v>
      </c>
      <c r="G17" s="15">
        <v>-8750</v>
      </c>
      <c r="H17" s="15">
        <v>-8750</v>
      </c>
      <c r="I17" s="15">
        <v>-8750</v>
      </c>
      <c r="J17" s="15">
        <v>-8750</v>
      </c>
      <c r="K17" s="15">
        <v>-8750</v>
      </c>
      <c r="L17" s="15">
        <v>-8750</v>
      </c>
      <c r="M17" s="15">
        <v>-8750</v>
      </c>
      <c r="N17" s="15">
        <v>-8750</v>
      </c>
      <c r="O17" s="15">
        <v>-8750</v>
      </c>
      <c r="P17" s="15">
        <v>-8750</v>
      </c>
      <c r="Q17" s="15">
        <v>-8750</v>
      </c>
      <c r="R17" s="15">
        <v>-16250</v>
      </c>
      <c r="S17" s="15">
        <v>-16250</v>
      </c>
      <c r="T17" s="15">
        <v>-16250</v>
      </c>
      <c r="U17" s="15">
        <v>-16250</v>
      </c>
      <c r="V17" s="15">
        <v>-16250</v>
      </c>
      <c r="W17" s="15">
        <v>-16250</v>
      </c>
      <c r="X17" s="15">
        <v>-16250</v>
      </c>
      <c r="Y17" s="15">
        <v>-16250</v>
      </c>
      <c r="Z17" s="15">
        <v>-16250</v>
      </c>
      <c r="AA17" s="15">
        <v>-16250</v>
      </c>
      <c r="AB17" s="15">
        <v>-16250</v>
      </c>
      <c r="AC17" s="15">
        <v>-16250</v>
      </c>
      <c r="AD17" s="15">
        <v>-16250</v>
      </c>
      <c r="AE17" s="15">
        <v>-16250</v>
      </c>
      <c r="AF17" s="15">
        <v>-16250</v>
      </c>
      <c r="AG17" s="15">
        <v>-16250</v>
      </c>
      <c r="AH17" s="15">
        <v>-16250</v>
      </c>
      <c r="AI17" s="15">
        <v>-16250</v>
      </c>
      <c r="AJ17" s="15">
        <f t="shared" si="0"/>
        <v>-105000</v>
      </c>
      <c r="AK17" s="15">
        <f t="shared" si="1"/>
        <v>-172500</v>
      </c>
      <c r="AL17" s="15">
        <f t="shared" si="2"/>
        <v>-146250</v>
      </c>
    </row>
    <row r="18" spans="1:38" x14ac:dyDescent="0.2">
      <c r="A18" t="s">
        <v>357</v>
      </c>
      <c r="B18" s="8" t="s">
        <v>356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-179000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-50000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f t="shared" si="0"/>
        <v>-179000</v>
      </c>
      <c r="AK18" s="15">
        <f t="shared" si="1"/>
        <v>-50000</v>
      </c>
      <c r="AL18" s="15">
        <f t="shared" si="2"/>
        <v>0</v>
      </c>
    </row>
    <row r="19" spans="1:38" x14ac:dyDescent="0.2">
      <c r="A19" s="16" t="s">
        <v>359</v>
      </c>
      <c r="B19" s="16" t="s">
        <v>358</v>
      </c>
      <c r="C19" s="17">
        <f t="shared" ref="C19:AI19" si="5">C16+C17+C18</f>
        <v>-8750</v>
      </c>
      <c r="D19" s="17">
        <f t="shared" si="5"/>
        <v>-8750</v>
      </c>
      <c r="E19" s="17">
        <f t="shared" si="5"/>
        <v>-8750</v>
      </c>
      <c r="F19" s="17">
        <f t="shared" si="5"/>
        <v>-8750</v>
      </c>
      <c r="G19" s="17">
        <f t="shared" si="5"/>
        <v>-8750</v>
      </c>
      <c r="H19" s="17">
        <f t="shared" si="5"/>
        <v>-8750</v>
      </c>
      <c r="I19" s="17">
        <f t="shared" si="5"/>
        <v>-8750</v>
      </c>
      <c r="J19" s="17">
        <f t="shared" si="5"/>
        <v>-8750</v>
      </c>
      <c r="K19" s="17">
        <f t="shared" si="5"/>
        <v>-8750</v>
      </c>
      <c r="L19" s="17">
        <f t="shared" si="5"/>
        <v>-8750</v>
      </c>
      <c r="M19" s="17">
        <f t="shared" si="5"/>
        <v>-8750</v>
      </c>
      <c r="N19" s="17">
        <f t="shared" si="5"/>
        <v>-187750</v>
      </c>
      <c r="O19" s="17">
        <f t="shared" si="5"/>
        <v>-8750</v>
      </c>
      <c r="P19" s="17">
        <f t="shared" si="5"/>
        <v>-8750</v>
      </c>
      <c r="Q19" s="17">
        <f t="shared" si="5"/>
        <v>441250</v>
      </c>
      <c r="R19" s="17">
        <f t="shared" si="5"/>
        <v>-16250</v>
      </c>
      <c r="S19" s="17">
        <f t="shared" si="5"/>
        <v>-16250</v>
      </c>
      <c r="T19" s="17">
        <f t="shared" si="5"/>
        <v>-16250</v>
      </c>
      <c r="U19" s="17">
        <f t="shared" si="5"/>
        <v>-16250</v>
      </c>
      <c r="V19" s="17">
        <f t="shared" si="5"/>
        <v>-16250</v>
      </c>
      <c r="W19" s="17">
        <f t="shared" si="5"/>
        <v>-16250</v>
      </c>
      <c r="X19" s="17">
        <f t="shared" si="5"/>
        <v>-16250</v>
      </c>
      <c r="Y19" s="17">
        <f t="shared" si="5"/>
        <v>-16250</v>
      </c>
      <c r="Z19" s="17">
        <f t="shared" si="5"/>
        <v>-66250</v>
      </c>
      <c r="AA19" s="17">
        <f t="shared" si="5"/>
        <v>-16250</v>
      </c>
      <c r="AB19" s="17">
        <f t="shared" si="5"/>
        <v>-16250</v>
      </c>
      <c r="AC19" s="17">
        <f t="shared" si="5"/>
        <v>-16250</v>
      </c>
      <c r="AD19" s="17">
        <f t="shared" si="5"/>
        <v>-16250</v>
      </c>
      <c r="AE19" s="17">
        <f t="shared" si="5"/>
        <v>-16250</v>
      </c>
      <c r="AF19" s="17">
        <f t="shared" si="5"/>
        <v>-16250</v>
      </c>
      <c r="AG19" s="17">
        <f t="shared" si="5"/>
        <v>-16250</v>
      </c>
      <c r="AH19" s="17">
        <f t="shared" si="5"/>
        <v>-16250</v>
      </c>
      <c r="AI19" s="17">
        <f t="shared" si="5"/>
        <v>-16250</v>
      </c>
      <c r="AJ19" s="17">
        <f t="shared" si="0"/>
        <v>-284000</v>
      </c>
      <c r="AK19" s="17">
        <f t="shared" si="1"/>
        <v>227500</v>
      </c>
      <c r="AL19" s="17">
        <f t="shared" si="2"/>
        <v>-146250</v>
      </c>
    </row>
    <row r="20" spans="1:38" x14ac:dyDescent="0.2">
      <c r="A20" s="16" t="s">
        <v>361</v>
      </c>
      <c r="B20" s="16" t="s">
        <v>360</v>
      </c>
      <c r="C20" s="17">
        <f t="shared" ref="C20:AI20" si="6">C13+C15+C19</f>
        <v>-26279.680000000022</v>
      </c>
      <c r="D20" s="17">
        <f t="shared" si="6"/>
        <v>-21300.730000000003</v>
      </c>
      <c r="E20" s="17">
        <f t="shared" si="6"/>
        <v>87690.98000000001</v>
      </c>
      <c r="F20" s="17">
        <f t="shared" si="6"/>
        <v>155062.31</v>
      </c>
      <c r="G20" s="17">
        <f t="shared" si="6"/>
        <v>173946.79</v>
      </c>
      <c r="H20" s="17">
        <f t="shared" si="6"/>
        <v>89385.300000000017</v>
      </c>
      <c r="I20" s="17">
        <f t="shared" si="6"/>
        <v>-62243.67</v>
      </c>
      <c r="J20" s="17">
        <f t="shared" si="6"/>
        <v>-77242.710000000021</v>
      </c>
      <c r="K20" s="17">
        <f t="shared" si="6"/>
        <v>-198750.37000000002</v>
      </c>
      <c r="L20" s="17">
        <f t="shared" si="6"/>
        <v>362957.97</v>
      </c>
      <c r="M20" s="17">
        <f t="shared" si="6"/>
        <v>180432.59000000003</v>
      </c>
      <c r="N20" s="17">
        <f t="shared" si="6"/>
        <v>-236704.06</v>
      </c>
      <c r="O20" s="17">
        <f t="shared" si="6"/>
        <v>-155630.63999999998</v>
      </c>
      <c r="P20" s="17">
        <f t="shared" si="6"/>
        <v>38139.570000000014</v>
      </c>
      <c r="Q20" s="17">
        <f t="shared" si="6"/>
        <v>42890.140000000014</v>
      </c>
      <c r="R20" s="17">
        <f t="shared" si="6"/>
        <v>-169530.28</v>
      </c>
      <c r="S20" s="17">
        <f t="shared" si="6"/>
        <v>58176.920000000013</v>
      </c>
      <c r="T20" s="17">
        <f t="shared" si="6"/>
        <v>-32302.640000000014</v>
      </c>
      <c r="U20" s="17">
        <f t="shared" si="6"/>
        <v>-195513.37</v>
      </c>
      <c r="V20" s="17">
        <f t="shared" si="6"/>
        <v>84398.020000000019</v>
      </c>
      <c r="W20" s="17">
        <f t="shared" si="6"/>
        <v>-23654.84</v>
      </c>
      <c r="X20" s="17">
        <f t="shared" si="6"/>
        <v>189167.61000000002</v>
      </c>
      <c r="Y20" s="17">
        <f t="shared" si="6"/>
        <v>181479.25000000003</v>
      </c>
      <c r="Z20" s="17">
        <f t="shared" si="6"/>
        <v>-221178.08999999997</v>
      </c>
      <c r="AA20" s="17">
        <f t="shared" si="6"/>
        <v>-132903.75999999998</v>
      </c>
      <c r="AB20" s="17">
        <f t="shared" si="6"/>
        <v>122915.16999999998</v>
      </c>
      <c r="AC20" s="17">
        <f t="shared" si="6"/>
        <v>296905.05</v>
      </c>
      <c r="AD20" s="17">
        <f t="shared" si="6"/>
        <v>149350.82</v>
      </c>
      <c r="AE20" s="17">
        <f t="shared" si="6"/>
        <v>111440.10999999999</v>
      </c>
      <c r="AF20" s="17">
        <f t="shared" si="6"/>
        <v>151665.59000000003</v>
      </c>
      <c r="AG20" s="17">
        <f t="shared" si="6"/>
        <v>-213423.38</v>
      </c>
      <c r="AH20" s="17">
        <f t="shared" si="6"/>
        <v>171021.53</v>
      </c>
      <c r="AI20" s="17">
        <f t="shared" si="6"/>
        <v>89866.5</v>
      </c>
      <c r="AJ20" s="17">
        <f t="shared" si="0"/>
        <v>426954.72000000003</v>
      </c>
      <c r="AK20" s="17">
        <f t="shared" si="1"/>
        <v>-203558.34999999986</v>
      </c>
      <c r="AL20" s="17">
        <f t="shared" si="2"/>
        <v>746837.63</v>
      </c>
    </row>
    <row r="21" spans="1:38" x14ac:dyDescent="0.2">
      <c r="A21" t="s">
        <v>539</v>
      </c>
      <c r="B21" s="8" t="s">
        <v>540</v>
      </c>
      <c r="C21" s="15">
        <v>420000</v>
      </c>
      <c r="D21" s="15">
        <f t="shared" ref="D21:AI21" si="7">C22</f>
        <v>393720.31999999995</v>
      </c>
      <c r="E21" s="15">
        <f t="shared" si="7"/>
        <v>372419.58999999997</v>
      </c>
      <c r="F21" s="15">
        <f t="shared" si="7"/>
        <v>460110.56999999995</v>
      </c>
      <c r="G21" s="15">
        <f t="shared" si="7"/>
        <v>615172.87999999989</v>
      </c>
      <c r="H21" s="15">
        <f t="shared" si="7"/>
        <v>789119.66999999993</v>
      </c>
      <c r="I21" s="15">
        <f t="shared" si="7"/>
        <v>878504.97</v>
      </c>
      <c r="J21" s="15">
        <f t="shared" si="7"/>
        <v>816261.29999999993</v>
      </c>
      <c r="K21" s="15">
        <f t="shared" si="7"/>
        <v>739018.58999999985</v>
      </c>
      <c r="L21" s="15">
        <f t="shared" si="7"/>
        <v>540268.21999999986</v>
      </c>
      <c r="M21" s="15">
        <f t="shared" si="7"/>
        <v>903226.18999999983</v>
      </c>
      <c r="N21" s="15">
        <f t="shared" si="7"/>
        <v>1083658.7799999998</v>
      </c>
      <c r="O21" s="15">
        <f t="shared" si="7"/>
        <v>846954.71999999974</v>
      </c>
      <c r="P21" s="15">
        <f t="shared" si="7"/>
        <v>691324.07999999973</v>
      </c>
      <c r="Q21" s="15">
        <f t="shared" si="7"/>
        <v>729463.64999999979</v>
      </c>
      <c r="R21" s="15">
        <f t="shared" si="7"/>
        <v>772353.7899999998</v>
      </c>
      <c r="S21" s="15">
        <f t="shared" si="7"/>
        <v>602823.50999999978</v>
      </c>
      <c r="T21" s="15">
        <f t="shared" si="7"/>
        <v>661000.42999999982</v>
      </c>
      <c r="U21" s="15">
        <f t="shared" si="7"/>
        <v>628697.7899999998</v>
      </c>
      <c r="V21" s="15">
        <f t="shared" si="7"/>
        <v>433184.41999999981</v>
      </c>
      <c r="W21" s="15">
        <f t="shared" si="7"/>
        <v>517582.43999999983</v>
      </c>
      <c r="X21" s="15">
        <f t="shared" si="7"/>
        <v>493927.5999999998</v>
      </c>
      <c r="Y21" s="15">
        <f t="shared" si="7"/>
        <v>683095.20999999985</v>
      </c>
      <c r="Z21" s="15">
        <f t="shared" si="7"/>
        <v>864574.45999999985</v>
      </c>
      <c r="AA21" s="15">
        <f t="shared" si="7"/>
        <v>643396.36999999988</v>
      </c>
      <c r="AB21" s="15">
        <f t="shared" si="7"/>
        <v>510492.60999999987</v>
      </c>
      <c r="AC21" s="15">
        <f t="shared" si="7"/>
        <v>633407.7799999998</v>
      </c>
      <c r="AD21" s="15">
        <f t="shared" si="7"/>
        <v>930312.82999999984</v>
      </c>
      <c r="AE21" s="15">
        <f t="shared" si="7"/>
        <v>1079663.6499999999</v>
      </c>
      <c r="AF21" s="15">
        <f t="shared" si="7"/>
        <v>1191103.7599999998</v>
      </c>
      <c r="AG21" s="15">
        <f t="shared" si="7"/>
        <v>1342769.3499999999</v>
      </c>
      <c r="AH21" s="15">
        <f t="shared" si="7"/>
        <v>1129345.9699999997</v>
      </c>
      <c r="AI21" s="15">
        <f t="shared" si="7"/>
        <v>1300367.4999999998</v>
      </c>
      <c r="AJ21" s="15">
        <f>C21</f>
        <v>420000</v>
      </c>
      <c r="AK21" s="15">
        <f>O21</f>
        <v>846954.71999999974</v>
      </c>
      <c r="AL21" s="15">
        <f>AA21</f>
        <v>643396.36999999988</v>
      </c>
    </row>
    <row r="22" spans="1:38" x14ac:dyDescent="0.2">
      <c r="A22" s="16" t="s">
        <v>541</v>
      </c>
      <c r="B22" s="16" t="s">
        <v>542</v>
      </c>
      <c r="C22" s="17">
        <f t="shared" ref="C22:AI22" si="8">C21+C20</f>
        <v>393720.31999999995</v>
      </c>
      <c r="D22" s="17">
        <f t="shared" si="8"/>
        <v>372419.58999999997</v>
      </c>
      <c r="E22" s="17">
        <f t="shared" si="8"/>
        <v>460110.56999999995</v>
      </c>
      <c r="F22" s="17">
        <f t="shared" si="8"/>
        <v>615172.87999999989</v>
      </c>
      <c r="G22" s="17">
        <f t="shared" si="8"/>
        <v>789119.66999999993</v>
      </c>
      <c r="H22" s="17">
        <f t="shared" si="8"/>
        <v>878504.97</v>
      </c>
      <c r="I22" s="17">
        <f t="shared" si="8"/>
        <v>816261.29999999993</v>
      </c>
      <c r="J22" s="17">
        <f t="shared" si="8"/>
        <v>739018.58999999985</v>
      </c>
      <c r="K22" s="17">
        <f t="shared" si="8"/>
        <v>540268.21999999986</v>
      </c>
      <c r="L22" s="17">
        <f t="shared" si="8"/>
        <v>903226.18999999983</v>
      </c>
      <c r="M22" s="17">
        <f t="shared" si="8"/>
        <v>1083658.7799999998</v>
      </c>
      <c r="N22" s="17">
        <f t="shared" si="8"/>
        <v>846954.71999999974</v>
      </c>
      <c r="O22" s="17">
        <f t="shared" si="8"/>
        <v>691324.07999999973</v>
      </c>
      <c r="P22" s="17">
        <f t="shared" si="8"/>
        <v>729463.64999999979</v>
      </c>
      <c r="Q22" s="17">
        <f t="shared" si="8"/>
        <v>772353.7899999998</v>
      </c>
      <c r="R22" s="17">
        <f t="shared" si="8"/>
        <v>602823.50999999978</v>
      </c>
      <c r="S22" s="17">
        <f t="shared" si="8"/>
        <v>661000.42999999982</v>
      </c>
      <c r="T22" s="17">
        <f t="shared" si="8"/>
        <v>628697.7899999998</v>
      </c>
      <c r="U22" s="17">
        <f t="shared" si="8"/>
        <v>433184.41999999981</v>
      </c>
      <c r="V22" s="17">
        <f t="shared" si="8"/>
        <v>517582.43999999983</v>
      </c>
      <c r="W22" s="17">
        <f t="shared" si="8"/>
        <v>493927.5999999998</v>
      </c>
      <c r="X22" s="17">
        <f t="shared" si="8"/>
        <v>683095.20999999985</v>
      </c>
      <c r="Y22" s="17">
        <f t="shared" si="8"/>
        <v>864574.45999999985</v>
      </c>
      <c r="Z22" s="17">
        <f t="shared" si="8"/>
        <v>643396.36999999988</v>
      </c>
      <c r="AA22" s="17">
        <f t="shared" si="8"/>
        <v>510492.60999999987</v>
      </c>
      <c r="AB22" s="17">
        <f t="shared" si="8"/>
        <v>633407.7799999998</v>
      </c>
      <c r="AC22" s="17">
        <f t="shared" si="8"/>
        <v>930312.82999999984</v>
      </c>
      <c r="AD22" s="17">
        <f t="shared" si="8"/>
        <v>1079663.6499999999</v>
      </c>
      <c r="AE22" s="17">
        <f t="shared" si="8"/>
        <v>1191103.7599999998</v>
      </c>
      <c r="AF22" s="17">
        <f t="shared" si="8"/>
        <v>1342769.3499999999</v>
      </c>
      <c r="AG22" s="17">
        <f t="shared" si="8"/>
        <v>1129345.9699999997</v>
      </c>
      <c r="AH22" s="17">
        <f t="shared" si="8"/>
        <v>1300367.4999999998</v>
      </c>
      <c r="AI22" s="17">
        <f t="shared" si="8"/>
        <v>1390233.9999999998</v>
      </c>
      <c r="AJ22" s="17">
        <f>N22</f>
        <v>846954.71999999974</v>
      </c>
      <c r="AK22" s="17">
        <f>Z22</f>
        <v>643396.36999999988</v>
      </c>
      <c r="AL22" s="17">
        <f>AI22</f>
        <v>1390233.9999999998</v>
      </c>
    </row>
    <row r="23" spans="1:38" x14ac:dyDescent="0.2">
      <c r="A23" t="s">
        <v>543</v>
      </c>
      <c r="B23" s="8" t="s">
        <v>544</v>
      </c>
      <c r="C23" s="15">
        <f>Hist_BS!C6</f>
        <v>393720.32000000001</v>
      </c>
      <c r="D23" s="15">
        <f>Hist_BS!D6</f>
        <v>372419.59</v>
      </c>
      <c r="E23" s="15">
        <f>Hist_BS!E6</f>
        <v>460110.57</v>
      </c>
      <c r="F23" s="15">
        <f>Hist_BS!F6</f>
        <v>615172.88</v>
      </c>
      <c r="G23" s="15">
        <f>Hist_BS!G6</f>
        <v>789119.67</v>
      </c>
      <c r="H23" s="15">
        <f>Hist_BS!H6</f>
        <v>878504.97</v>
      </c>
      <c r="I23" s="15">
        <f>Hist_BS!I6</f>
        <v>816261.3</v>
      </c>
      <c r="J23" s="15">
        <f>Hist_BS!J6</f>
        <v>739018.59</v>
      </c>
      <c r="K23" s="15">
        <f>Hist_BS!K6</f>
        <v>540268.22</v>
      </c>
      <c r="L23" s="15">
        <f>Hist_BS!L6</f>
        <v>903226.19</v>
      </c>
      <c r="M23" s="15">
        <f>Hist_BS!M6</f>
        <v>1083658.78</v>
      </c>
      <c r="N23" s="15">
        <f>Hist_BS!N6</f>
        <v>846954.72</v>
      </c>
      <c r="O23" s="15">
        <f>Hist_BS!O6</f>
        <v>691324.08</v>
      </c>
      <c r="P23" s="15">
        <f>Hist_BS!P6</f>
        <v>729463.65</v>
      </c>
      <c r="Q23" s="15">
        <f>Hist_BS!Q6</f>
        <v>772353.79</v>
      </c>
      <c r="R23" s="15">
        <f>Hist_BS!R6</f>
        <v>602823.51</v>
      </c>
      <c r="S23" s="15">
        <f>Hist_BS!S6</f>
        <v>661000.43000000005</v>
      </c>
      <c r="T23" s="15">
        <f>Hist_BS!T6</f>
        <v>628697.79</v>
      </c>
      <c r="U23" s="15">
        <f>Hist_BS!U6</f>
        <v>433184.42</v>
      </c>
      <c r="V23" s="15">
        <f>Hist_BS!V6</f>
        <v>517582.44</v>
      </c>
      <c r="W23" s="15">
        <f>Hist_BS!W6</f>
        <v>493927.6</v>
      </c>
      <c r="X23" s="15">
        <f>Hist_BS!X6</f>
        <v>683095.21</v>
      </c>
      <c r="Y23" s="15">
        <f>Hist_BS!Y6</f>
        <v>864574.46</v>
      </c>
      <c r="Z23" s="15">
        <f>Hist_BS!Z6</f>
        <v>643396.37</v>
      </c>
      <c r="AA23" s="15">
        <f>Hist_BS!AA6</f>
        <v>510492.61</v>
      </c>
      <c r="AB23" s="15">
        <f>Hist_BS!AB6</f>
        <v>633407.78</v>
      </c>
      <c r="AC23" s="15">
        <f>Hist_BS!AC6</f>
        <v>930312.83</v>
      </c>
      <c r="AD23" s="15">
        <f>Hist_BS!AD6</f>
        <v>1079663.6499999999</v>
      </c>
      <c r="AE23" s="15">
        <f>Hist_BS!AE6</f>
        <v>1191103.76</v>
      </c>
      <c r="AF23" s="15">
        <f>Hist_BS!AF6</f>
        <v>1342769.35</v>
      </c>
      <c r="AG23" s="15">
        <f>Hist_BS!AG6</f>
        <v>1129345.97</v>
      </c>
      <c r="AH23" s="15">
        <f>Hist_BS!AH6</f>
        <v>1300367.5</v>
      </c>
      <c r="AI23" s="15">
        <f>Hist_BS!AI6</f>
        <v>1390234</v>
      </c>
      <c r="AJ23" s="15">
        <f>N23</f>
        <v>846954.72</v>
      </c>
      <c r="AK23" s="15">
        <f>Z23</f>
        <v>643396.37</v>
      </c>
      <c r="AL23" s="15">
        <f>AI23</f>
        <v>1390234</v>
      </c>
    </row>
    <row r="24" spans="1:38" x14ac:dyDescent="0.2">
      <c r="A24" s="16" t="s">
        <v>545</v>
      </c>
      <c r="B24" s="16" t="s">
        <v>530</v>
      </c>
      <c r="C24" s="17">
        <f t="shared" ref="C24:AI24" si="9">ROUND(C22-C23,2)</f>
        <v>0</v>
      </c>
      <c r="D24" s="17">
        <f t="shared" si="9"/>
        <v>0</v>
      </c>
      <c r="E24" s="17">
        <f t="shared" si="9"/>
        <v>0</v>
      </c>
      <c r="F24" s="17">
        <f t="shared" si="9"/>
        <v>0</v>
      </c>
      <c r="G24" s="17">
        <f t="shared" si="9"/>
        <v>0</v>
      </c>
      <c r="H24" s="17">
        <f t="shared" si="9"/>
        <v>0</v>
      </c>
      <c r="I24" s="17">
        <f t="shared" si="9"/>
        <v>0</v>
      </c>
      <c r="J24" s="17">
        <f t="shared" si="9"/>
        <v>0</v>
      </c>
      <c r="K24" s="17">
        <f t="shared" si="9"/>
        <v>0</v>
      </c>
      <c r="L24" s="17">
        <f t="shared" si="9"/>
        <v>0</v>
      </c>
      <c r="M24" s="17">
        <f t="shared" si="9"/>
        <v>0</v>
      </c>
      <c r="N24" s="17">
        <f t="shared" si="9"/>
        <v>0</v>
      </c>
      <c r="O24" s="17">
        <f t="shared" si="9"/>
        <v>0</v>
      </c>
      <c r="P24" s="17">
        <f t="shared" si="9"/>
        <v>0</v>
      </c>
      <c r="Q24" s="17">
        <f t="shared" si="9"/>
        <v>0</v>
      </c>
      <c r="R24" s="17">
        <f t="shared" si="9"/>
        <v>0</v>
      </c>
      <c r="S24" s="17">
        <f t="shared" si="9"/>
        <v>0</v>
      </c>
      <c r="T24" s="17">
        <f t="shared" si="9"/>
        <v>0</v>
      </c>
      <c r="U24" s="17">
        <f t="shared" si="9"/>
        <v>0</v>
      </c>
      <c r="V24" s="17">
        <f t="shared" si="9"/>
        <v>0</v>
      </c>
      <c r="W24" s="17">
        <f t="shared" si="9"/>
        <v>0</v>
      </c>
      <c r="X24" s="17">
        <f t="shared" si="9"/>
        <v>0</v>
      </c>
      <c r="Y24" s="17">
        <f t="shared" si="9"/>
        <v>0</v>
      </c>
      <c r="Z24" s="17">
        <f t="shared" si="9"/>
        <v>0</v>
      </c>
      <c r="AA24" s="17">
        <f t="shared" si="9"/>
        <v>0</v>
      </c>
      <c r="AB24" s="17">
        <f t="shared" si="9"/>
        <v>0</v>
      </c>
      <c r="AC24" s="17">
        <f t="shared" si="9"/>
        <v>0</v>
      </c>
      <c r="AD24" s="17">
        <f t="shared" si="9"/>
        <v>0</v>
      </c>
      <c r="AE24" s="17">
        <f t="shared" si="9"/>
        <v>0</v>
      </c>
      <c r="AF24" s="17">
        <f t="shared" si="9"/>
        <v>0</v>
      </c>
      <c r="AG24" s="17">
        <f t="shared" si="9"/>
        <v>0</v>
      </c>
      <c r="AH24" s="17">
        <f t="shared" si="9"/>
        <v>0</v>
      </c>
      <c r="AI24" s="17">
        <f t="shared" si="9"/>
        <v>0</v>
      </c>
      <c r="AJ24" s="17">
        <f>N24</f>
        <v>0</v>
      </c>
      <c r="AK24" s="17">
        <f>Z24</f>
        <v>0</v>
      </c>
      <c r="AL24" s="17">
        <f>AI24</f>
        <v>0</v>
      </c>
    </row>
  </sheetData>
  <mergeCells count="1">
    <mergeCell ref="A1:A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6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46" customWidth="1"/>
  </cols>
  <sheetData>
    <row r="1" spans="1:36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9" x14ac:dyDescent="0.25">
      <c r="A2" s="1" t="s">
        <v>546</v>
      </c>
    </row>
    <row r="3" spans="1:36" x14ac:dyDescent="0.2">
      <c r="A3" s="2" t="s">
        <v>547</v>
      </c>
    </row>
    <row r="5" spans="1:36" ht="16" x14ac:dyDescent="0.2">
      <c r="A5" s="6" t="s">
        <v>548</v>
      </c>
      <c r="B5" s="7" t="s">
        <v>549</v>
      </c>
      <c r="C5" s="7" t="s">
        <v>550</v>
      </c>
      <c r="D5" s="7" t="s">
        <v>482</v>
      </c>
      <c r="E5" s="7" t="s">
        <v>483</v>
      </c>
      <c r="F5" s="7" t="s">
        <v>484</v>
      </c>
      <c r="G5" s="7" t="s">
        <v>485</v>
      </c>
      <c r="H5" s="7" t="s">
        <v>486</v>
      </c>
      <c r="I5" s="7" t="s">
        <v>487</v>
      </c>
      <c r="J5" s="7" t="s">
        <v>488</v>
      </c>
      <c r="K5" s="7" t="s">
        <v>489</v>
      </c>
      <c r="L5" s="7" t="s">
        <v>490</v>
      </c>
      <c r="M5" s="7" t="s">
        <v>491</v>
      </c>
      <c r="N5" s="7" t="s">
        <v>492</v>
      </c>
      <c r="O5" s="7" t="s">
        <v>493</v>
      </c>
      <c r="P5" s="7" t="s">
        <v>494</v>
      </c>
      <c r="Q5" s="7" t="s">
        <v>495</v>
      </c>
      <c r="R5" s="7" t="s">
        <v>496</v>
      </c>
      <c r="S5" s="7" t="s">
        <v>497</v>
      </c>
      <c r="T5" s="7" t="s">
        <v>498</v>
      </c>
      <c r="U5" s="7" t="s">
        <v>499</v>
      </c>
      <c r="V5" s="7" t="s">
        <v>500</v>
      </c>
      <c r="W5" s="7" t="s">
        <v>501</v>
      </c>
      <c r="X5" s="7" t="s">
        <v>502</v>
      </c>
      <c r="Y5" s="7" t="s">
        <v>503</v>
      </c>
      <c r="Z5" s="7" t="s">
        <v>504</v>
      </c>
      <c r="AA5" s="7" t="s">
        <v>505</v>
      </c>
      <c r="AB5" s="7" t="s">
        <v>506</v>
      </c>
      <c r="AC5" s="7" t="s">
        <v>507</v>
      </c>
      <c r="AD5" s="7" t="s">
        <v>508</v>
      </c>
      <c r="AE5" s="7" t="s">
        <v>509</v>
      </c>
      <c r="AF5" s="7" t="s">
        <v>510</v>
      </c>
      <c r="AG5" s="7" t="s">
        <v>511</v>
      </c>
      <c r="AH5" s="7" t="s">
        <v>512</v>
      </c>
      <c r="AI5" s="7" t="s">
        <v>513</v>
      </c>
      <c r="AJ5" s="7" t="s">
        <v>514</v>
      </c>
    </row>
    <row r="6" spans="1:36" x14ac:dyDescent="0.2">
      <c r="A6" t="s">
        <v>551</v>
      </c>
      <c r="B6" t="s">
        <v>552</v>
      </c>
      <c r="C6" s="18">
        <v>420000</v>
      </c>
      <c r="D6" s="18">
        <v>393720.32000000001</v>
      </c>
      <c r="E6" s="18">
        <v>372419.59</v>
      </c>
      <c r="F6" s="18">
        <v>460110.57</v>
      </c>
      <c r="G6" s="18">
        <v>615172.88</v>
      </c>
      <c r="H6" s="18">
        <v>789119.67</v>
      </c>
      <c r="I6" s="18">
        <v>878504.97</v>
      </c>
      <c r="J6" s="18">
        <v>816261.3</v>
      </c>
      <c r="K6" s="18">
        <v>739018.59</v>
      </c>
      <c r="L6" s="18">
        <v>540268.22</v>
      </c>
      <c r="M6" s="18">
        <v>903226.19</v>
      </c>
      <c r="N6" s="18">
        <v>1083658.78</v>
      </c>
      <c r="O6" s="18">
        <v>846954.72</v>
      </c>
      <c r="P6" s="18">
        <v>691324.08</v>
      </c>
      <c r="Q6" s="18">
        <v>729463.65</v>
      </c>
      <c r="R6" s="18">
        <v>772353.79</v>
      </c>
      <c r="S6" s="18">
        <v>602823.51</v>
      </c>
      <c r="T6" s="18">
        <v>661000.43000000005</v>
      </c>
      <c r="U6" s="18">
        <v>628697.79</v>
      </c>
      <c r="V6" s="18">
        <v>433184.42</v>
      </c>
      <c r="W6" s="18">
        <v>517582.44</v>
      </c>
      <c r="X6" s="18">
        <v>493927.6</v>
      </c>
      <c r="Y6" s="18">
        <v>683095.21</v>
      </c>
      <c r="Z6" s="18">
        <v>864574.46</v>
      </c>
      <c r="AA6" s="18">
        <v>643396.37</v>
      </c>
      <c r="AB6" s="18">
        <v>510492.61</v>
      </c>
      <c r="AC6" s="18">
        <v>633407.78</v>
      </c>
      <c r="AD6" s="18">
        <v>930312.83</v>
      </c>
      <c r="AE6" s="18">
        <v>1079663.6499999999</v>
      </c>
      <c r="AF6" s="18">
        <v>1191103.76</v>
      </c>
      <c r="AG6" s="18">
        <v>1342769.35</v>
      </c>
      <c r="AH6" s="18">
        <v>1129345.97</v>
      </c>
      <c r="AI6" s="18">
        <v>1300367.5</v>
      </c>
      <c r="AJ6" s="18">
        <v>1390234</v>
      </c>
    </row>
    <row r="7" spans="1:36" x14ac:dyDescent="0.2">
      <c r="A7" t="s">
        <v>553</v>
      </c>
      <c r="B7" t="s">
        <v>554</v>
      </c>
      <c r="C7" s="18">
        <v>3194.57</v>
      </c>
      <c r="D7" s="18">
        <v>43915.96</v>
      </c>
      <c r="E7" s="18">
        <v>23916.32</v>
      </c>
      <c r="F7" s="18">
        <v>3231.93</v>
      </c>
      <c r="G7" s="18">
        <v>32226.05</v>
      </c>
      <c r="H7" s="18">
        <v>28170.23</v>
      </c>
      <c r="I7" s="18">
        <v>2922.87</v>
      </c>
      <c r="J7" s="18">
        <v>19522.099999999999</v>
      </c>
      <c r="K7" s="18">
        <v>12791.81</v>
      </c>
      <c r="L7" s="18">
        <v>12065.48</v>
      </c>
      <c r="M7" s="18">
        <v>20038.54</v>
      </c>
      <c r="N7" s="18">
        <v>19609.27</v>
      </c>
      <c r="O7" s="18">
        <v>14747.24</v>
      </c>
      <c r="P7" s="18">
        <v>22357.5</v>
      </c>
      <c r="Q7" s="18">
        <v>41579.5</v>
      </c>
      <c r="R7" s="18">
        <v>14466.09</v>
      </c>
      <c r="S7" s="18">
        <v>28474.78</v>
      </c>
      <c r="T7" s="18">
        <v>18904.91</v>
      </c>
      <c r="U7" s="18">
        <v>19040.419999999998</v>
      </c>
      <c r="V7" s="18">
        <v>41463.18</v>
      </c>
      <c r="W7" s="18">
        <v>2913.11</v>
      </c>
      <c r="X7" s="18">
        <v>36090.410000000003</v>
      </c>
      <c r="Y7" s="18">
        <v>37706.339999999997</v>
      </c>
      <c r="Z7" s="18">
        <v>6949.82</v>
      </c>
      <c r="AA7" s="18">
        <v>13180.93</v>
      </c>
      <c r="AB7" s="18">
        <v>15871.03</v>
      </c>
      <c r="AC7" s="18">
        <v>15710.83</v>
      </c>
      <c r="AD7" s="18">
        <v>35867.18</v>
      </c>
      <c r="AE7" s="18">
        <v>57971.42</v>
      </c>
      <c r="AF7" s="18">
        <v>6513</v>
      </c>
      <c r="AG7" s="18">
        <v>35159.21</v>
      </c>
      <c r="AH7" s="18">
        <v>33836.79</v>
      </c>
      <c r="AI7" s="18">
        <v>23457.45</v>
      </c>
      <c r="AJ7" s="18">
        <v>57024.67</v>
      </c>
    </row>
    <row r="8" spans="1:36" x14ac:dyDescent="0.2">
      <c r="A8" t="s">
        <v>555</v>
      </c>
      <c r="B8" t="s">
        <v>526</v>
      </c>
      <c r="C8" s="18">
        <v>490451.26</v>
      </c>
      <c r="D8" s="18">
        <v>433861.48</v>
      </c>
      <c r="E8" s="18">
        <v>603581.30000000005</v>
      </c>
      <c r="F8" s="18">
        <v>505108.03</v>
      </c>
      <c r="G8" s="18">
        <v>496841.21</v>
      </c>
      <c r="H8" s="18">
        <v>504740</v>
      </c>
      <c r="I8" s="18">
        <v>344074.43</v>
      </c>
      <c r="J8" s="18">
        <v>271127.44</v>
      </c>
      <c r="K8" s="18">
        <v>358310.92</v>
      </c>
      <c r="L8" s="18">
        <v>622300.62</v>
      </c>
      <c r="M8" s="18">
        <v>417249.48</v>
      </c>
      <c r="N8" s="18">
        <v>428467.66</v>
      </c>
      <c r="O8" s="18">
        <v>363070.71</v>
      </c>
      <c r="P8" s="18">
        <v>519555.24</v>
      </c>
      <c r="Q8" s="18">
        <v>579289.91</v>
      </c>
      <c r="R8" s="18">
        <v>590551.85</v>
      </c>
      <c r="S8" s="18">
        <v>411207.64</v>
      </c>
      <c r="T8" s="18">
        <v>501139.62</v>
      </c>
      <c r="U8" s="18">
        <v>410705.57</v>
      </c>
      <c r="V8" s="18">
        <v>547488.23</v>
      </c>
      <c r="W8" s="18">
        <v>616272.19999999995</v>
      </c>
      <c r="X8" s="18">
        <v>633976.18999999994</v>
      </c>
      <c r="Y8" s="18">
        <v>585491.41</v>
      </c>
      <c r="Z8" s="18">
        <v>502017.27</v>
      </c>
      <c r="AA8" s="18">
        <v>515688.02</v>
      </c>
      <c r="AB8" s="18">
        <v>830843.66</v>
      </c>
      <c r="AC8" s="18">
        <v>720229.64</v>
      </c>
      <c r="AD8" s="18">
        <v>545393.94999999995</v>
      </c>
      <c r="AE8" s="18">
        <v>623573.87</v>
      </c>
      <c r="AF8" s="18">
        <v>532091.1</v>
      </c>
      <c r="AG8" s="18">
        <v>468813.23</v>
      </c>
      <c r="AH8" s="18">
        <v>661457.69999999995</v>
      </c>
      <c r="AI8" s="18">
        <v>647790.93000000005</v>
      </c>
      <c r="AJ8" s="18">
        <v>573560.54</v>
      </c>
    </row>
    <row r="9" spans="1:36" x14ac:dyDescent="0.2">
      <c r="A9" t="s">
        <v>556</v>
      </c>
      <c r="B9" t="s">
        <v>557</v>
      </c>
      <c r="C9" s="18">
        <v>32873.39</v>
      </c>
      <c r="D9" s="18">
        <v>32900.14</v>
      </c>
      <c r="E9" s="18">
        <v>29309.360000000001</v>
      </c>
      <c r="F9" s="18">
        <v>32521.53</v>
      </c>
      <c r="G9" s="18">
        <v>44543.71</v>
      </c>
      <c r="H9" s="18">
        <v>42862.78</v>
      </c>
      <c r="I9" s="18">
        <v>27303.56</v>
      </c>
      <c r="J9" s="18">
        <v>42169.94</v>
      </c>
      <c r="K9" s="18">
        <v>49437.83</v>
      </c>
      <c r="L9" s="18">
        <v>19809.349999999999</v>
      </c>
      <c r="M9" s="18">
        <v>42077.21</v>
      </c>
      <c r="N9" s="18">
        <v>48209.5</v>
      </c>
      <c r="O9" s="18">
        <v>36457.43</v>
      </c>
      <c r="P9" s="18">
        <v>39418.160000000003</v>
      </c>
      <c r="Q9" s="18">
        <v>30312.5</v>
      </c>
      <c r="R9" s="18">
        <v>39864.83</v>
      </c>
      <c r="S9" s="18">
        <v>28555.61</v>
      </c>
      <c r="T9" s="18">
        <v>36881.839999999997</v>
      </c>
      <c r="U9" s="18">
        <v>22851.74</v>
      </c>
      <c r="V9" s="18">
        <v>43564.28</v>
      </c>
      <c r="W9" s="18">
        <v>50096.74</v>
      </c>
      <c r="X9" s="18">
        <v>38364.26</v>
      </c>
      <c r="Y9" s="18">
        <v>59712.82</v>
      </c>
      <c r="Z9" s="18">
        <v>67143.73</v>
      </c>
      <c r="AA9" s="18">
        <v>33731.06</v>
      </c>
      <c r="AB9" s="18">
        <v>54150.61</v>
      </c>
      <c r="AC9" s="18">
        <v>64048.5</v>
      </c>
      <c r="AD9" s="18">
        <v>68655.47</v>
      </c>
      <c r="AE9" s="18">
        <v>65040.83</v>
      </c>
      <c r="AF9" s="18">
        <v>72860.03</v>
      </c>
      <c r="AG9" s="18">
        <v>55342.77</v>
      </c>
      <c r="AH9" s="18">
        <v>47783.199999999997</v>
      </c>
      <c r="AI9" s="18">
        <v>41631.269999999997</v>
      </c>
      <c r="AJ9" s="18">
        <v>53108.15</v>
      </c>
    </row>
    <row r="10" spans="1:36" x14ac:dyDescent="0.2">
      <c r="A10" t="s">
        <v>558</v>
      </c>
      <c r="B10" t="s">
        <v>559</v>
      </c>
      <c r="C10" s="18">
        <v>47419.06</v>
      </c>
      <c r="D10" s="18">
        <v>45026.45</v>
      </c>
      <c r="E10" s="18">
        <v>43992.91</v>
      </c>
      <c r="F10" s="18">
        <v>46568.05</v>
      </c>
      <c r="G10" s="18">
        <v>33742.94</v>
      </c>
      <c r="H10" s="18">
        <v>40982.67</v>
      </c>
      <c r="I10" s="18">
        <v>45501.75</v>
      </c>
      <c r="J10" s="18">
        <v>45358.58</v>
      </c>
      <c r="K10" s="18">
        <v>45007.68</v>
      </c>
      <c r="L10" s="18">
        <v>43061.37</v>
      </c>
      <c r="M10" s="18">
        <v>41166.379999999997</v>
      </c>
      <c r="N10" s="18">
        <v>45357.37</v>
      </c>
      <c r="O10" s="18">
        <v>46654.42</v>
      </c>
      <c r="P10" s="18">
        <v>45361.440000000002</v>
      </c>
      <c r="Q10" s="18">
        <v>48026.26</v>
      </c>
      <c r="R10" s="18">
        <v>46823.72</v>
      </c>
      <c r="S10" s="18">
        <v>39752.620000000003</v>
      </c>
      <c r="T10" s="18">
        <v>63987.11</v>
      </c>
      <c r="U10" s="18">
        <v>64076.25</v>
      </c>
      <c r="V10" s="18">
        <v>59968.76</v>
      </c>
      <c r="W10" s="18">
        <v>67045.600000000006</v>
      </c>
      <c r="X10" s="18">
        <v>66610.3</v>
      </c>
      <c r="Y10" s="18">
        <v>51836.89</v>
      </c>
      <c r="Z10" s="18">
        <v>55946.35</v>
      </c>
      <c r="AA10" s="18">
        <v>70128.899999999994</v>
      </c>
      <c r="AB10" s="18">
        <v>63867.839999999997</v>
      </c>
      <c r="AC10" s="18">
        <v>65406.11</v>
      </c>
      <c r="AD10" s="18">
        <v>62730.29</v>
      </c>
      <c r="AE10" s="18">
        <v>56051.64</v>
      </c>
      <c r="AF10" s="18">
        <v>56058.69</v>
      </c>
      <c r="AG10" s="18">
        <v>61856.32</v>
      </c>
      <c r="AH10" s="18">
        <v>63125.52</v>
      </c>
      <c r="AI10" s="18">
        <v>68943.759999999995</v>
      </c>
      <c r="AJ10" s="18">
        <v>61247.14</v>
      </c>
    </row>
    <row r="11" spans="1:36" x14ac:dyDescent="0.2">
      <c r="A11" t="s">
        <v>560</v>
      </c>
      <c r="B11" t="s">
        <v>561</v>
      </c>
      <c r="C11" s="18">
        <v>84837.2</v>
      </c>
      <c r="D11" s="18">
        <v>86686.080000000002</v>
      </c>
      <c r="E11" s="18">
        <v>52809.7</v>
      </c>
      <c r="F11" s="18">
        <v>72559.63</v>
      </c>
      <c r="G11" s="18">
        <v>40181.769999999997</v>
      </c>
      <c r="H11" s="18">
        <v>36676.559999999998</v>
      </c>
      <c r="I11" s="18">
        <v>34960.93</v>
      </c>
      <c r="J11" s="18">
        <v>40863.94</v>
      </c>
      <c r="K11" s="18">
        <v>111834.28</v>
      </c>
      <c r="L11" s="18">
        <v>49956.78</v>
      </c>
      <c r="M11" s="18">
        <v>43051.519999999997</v>
      </c>
      <c r="N11" s="18">
        <v>78153.710000000006</v>
      </c>
      <c r="O11" s="18">
        <v>86056.63</v>
      </c>
      <c r="P11" s="18">
        <v>63033.84</v>
      </c>
      <c r="Q11" s="18">
        <v>41651.379999999997</v>
      </c>
      <c r="R11" s="18">
        <v>48103.040000000001</v>
      </c>
      <c r="S11" s="18">
        <v>73914.720000000001</v>
      </c>
      <c r="T11" s="18">
        <v>47958.239999999998</v>
      </c>
      <c r="U11" s="18">
        <v>49604.57</v>
      </c>
      <c r="V11" s="18">
        <v>58473.01</v>
      </c>
      <c r="W11" s="18">
        <v>60216.92</v>
      </c>
      <c r="X11" s="18">
        <v>36790.019999999997</v>
      </c>
      <c r="Y11" s="18">
        <v>83631.62</v>
      </c>
      <c r="Z11" s="18">
        <v>108780.73</v>
      </c>
      <c r="AA11" s="18">
        <v>183079.12</v>
      </c>
      <c r="AB11" s="18">
        <v>95691.95</v>
      </c>
      <c r="AC11" s="18">
        <v>78234.820000000007</v>
      </c>
      <c r="AD11" s="18">
        <v>68474.350000000006</v>
      </c>
      <c r="AE11" s="18">
        <v>57089.29</v>
      </c>
      <c r="AF11" s="18">
        <v>53166.16</v>
      </c>
      <c r="AG11" s="18">
        <v>90227.42</v>
      </c>
      <c r="AH11" s="18">
        <v>63691.29</v>
      </c>
      <c r="AI11" s="18">
        <v>61147.68</v>
      </c>
      <c r="AJ11" s="18">
        <v>65151.63</v>
      </c>
    </row>
    <row r="12" spans="1:36" x14ac:dyDescent="0.2">
      <c r="A12" t="s">
        <v>562</v>
      </c>
      <c r="B12" t="s">
        <v>563</v>
      </c>
      <c r="C12" s="18">
        <v>11507.4</v>
      </c>
      <c r="D12" s="18">
        <v>9219.7900000000009</v>
      </c>
      <c r="E12" s="18">
        <v>9814.85</v>
      </c>
      <c r="F12" s="18">
        <v>9117.25</v>
      </c>
      <c r="G12" s="18">
        <v>9516.73</v>
      </c>
      <c r="H12" s="18">
        <v>9222.49</v>
      </c>
      <c r="I12" s="18">
        <v>5586.78</v>
      </c>
      <c r="J12" s="18">
        <v>8171.94</v>
      </c>
      <c r="K12" s="18">
        <v>3839.27</v>
      </c>
      <c r="L12" s="18">
        <v>14243.84</v>
      </c>
      <c r="M12" s="18">
        <v>5223.29</v>
      </c>
      <c r="N12" s="18">
        <v>6409.11</v>
      </c>
      <c r="O12" s="18">
        <v>13477.03</v>
      </c>
      <c r="P12" s="18">
        <v>8975.83</v>
      </c>
      <c r="Q12" s="18">
        <v>9892.6299999999992</v>
      </c>
      <c r="R12" s="18">
        <v>12972.28</v>
      </c>
      <c r="S12" s="18">
        <v>6493.03</v>
      </c>
      <c r="T12" s="18">
        <v>9445.2999999999993</v>
      </c>
      <c r="U12" s="18">
        <v>14425.66</v>
      </c>
      <c r="V12" s="18">
        <v>7039.89</v>
      </c>
      <c r="W12" s="18">
        <v>10552.93</v>
      </c>
      <c r="X12" s="18">
        <v>12471.51</v>
      </c>
      <c r="Y12" s="18">
        <v>6874.1</v>
      </c>
      <c r="Z12" s="18">
        <v>6840.3</v>
      </c>
      <c r="AA12" s="18">
        <v>19198.39</v>
      </c>
      <c r="AB12" s="18">
        <v>13289.17</v>
      </c>
      <c r="AC12" s="18">
        <v>13361.61</v>
      </c>
      <c r="AD12" s="18">
        <v>16296.93</v>
      </c>
      <c r="AE12" s="18">
        <v>16053.93</v>
      </c>
      <c r="AF12" s="18">
        <v>7849.79</v>
      </c>
      <c r="AG12" s="18">
        <v>14236.71</v>
      </c>
      <c r="AH12" s="18">
        <v>10889.36</v>
      </c>
      <c r="AI12" s="18">
        <v>18852.560000000001</v>
      </c>
      <c r="AJ12" s="18">
        <v>11736.47</v>
      </c>
    </row>
    <row r="13" spans="1:36" x14ac:dyDescent="0.2">
      <c r="A13" t="s">
        <v>564</v>
      </c>
      <c r="B13" t="s">
        <v>528</v>
      </c>
      <c r="C13" s="18">
        <v>57150.99</v>
      </c>
      <c r="D13" s="18">
        <v>145139.37</v>
      </c>
      <c r="E13" s="18">
        <v>125934.67</v>
      </c>
      <c r="F13" s="18">
        <v>101396.83</v>
      </c>
      <c r="G13" s="18">
        <v>150033.5</v>
      </c>
      <c r="H13" s="18">
        <v>69436.59</v>
      </c>
      <c r="I13" s="18">
        <v>48288.58</v>
      </c>
      <c r="J13" s="18">
        <v>64596.25</v>
      </c>
      <c r="K13" s="18">
        <v>125518.22</v>
      </c>
      <c r="L13" s="18">
        <v>119095.45</v>
      </c>
      <c r="M13" s="18">
        <v>108777.83</v>
      </c>
      <c r="N13" s="18">
        <v>107786.61</v>
      </c>
      <c r="O13" s="18">
        <v>115167.66</v>
      </c>
      <c r="P13" s="18">
        <v>87527.679999999993</v>
      </c>
      <c r="Q13" s="18">
        <v>113290.25</v>
      </c>
      <c r="R13" s="18">
        <v>84190.62</v>
      </c>
      <c r="S13" s="18">
        <v>134003.79</v>
      </c>
      <c r="T13" s="18">
        <v>110064.14</v>
      </c>
      <c r="U13" s="18">
        <v>123413.89</v>
      </c>
      <c r="V13" s="18">
        <v>171056.65</v>
      </c>
      <c r="W13" s="18">
        <v>105185.77</v>
      </c>
      <c r="X13" s="18">
        <v>115310.77</v>
      </c>
      <c r="Y13" s="18">
        <v>85917.28</v>
      </c>
      <c r="Z13" s="18">
        <v>171006.61</v>
      </c>
      <c r="AA13" s="18">
        <v>215178.21</v>
      </c>
      <c r="AB13" s="18">
        <v>162719.57</v>
      </c>
      <c r="AC13" s="18">
        <v>132913.06</v>
      </c>
      <c r="AD13" s="18">
        <v>113978.6</v>
      </c>
      <c r="AE13" s="18">
        <v>138398.07</v>
      </c>
      <c r="AF13" s="18">
        <v>107857.56</v>
      </c>
      <c r="AG13" s="18">
        <v>91617.59</v>
      </c>
      <c r="AH13" s="18">
        <v>149798.85</v>
      </c>
      <c r="AI13" s="18">
        <v>131430.98000000001</v>
      </c>
      <c r="AJ13" s="18">
        <v>115918.75</v>
      </c>
    </row>
    <row r="14" spans="1:36" x14ac:dyDescent="0.2">
      <c r="A14" t="s">
        <v>565</v>
      </c>
      <c r="B14" t="s">
        <v>292</v>
      </c>
      <c r="C14" s="18">
        <v>0</v>
      </c>
      <c r="D14" s="18">
        <v>81400</v>
      </c>
      <c r="E14" s="18">
        <v>74000</v>
      </c>
      <c r="F14" s="18">
        <v>66600</v>
      </c>
      <c r="G14" s="18">
        <v>59200</v>
      </c>
      <c r="H14" s="18">
        <v>51800</v>
      </c>
      <c r="I14" s="18">
        <v>44400</v>
      </c>
      <c r="J14" s="18">
        <v>37000</v>
      </c>
      <c r="K14" s="18">
        <v>29600</v>
      </c>
      <c r="L14" s="18">
        <v>22200</v>
      </c>
      <c r="M14" s="18">
        <v>14800</v>
      </c>
      <c r="N14" s="18">
        <v>7400</v>
      </c>
      <c r="O14" s="18">
        <v>0</v>
      </c>
      <c r="P14" s="18">
        <v>92988.4</v>
      </c>
      <c r="Q14" s="18">
        <v>85366.399999999994</v>
      </c>
      <c r="R14" s="18">
        <v>77744.399999999994</v>
      </c>
      <c r="S14" s="18">
        <v>70122.399999999994</v>
      </c>
      <c r="T14" s="18">
        <v>61357.1</v>
      </c>
      <c r="U14" s="18">
        <v>52591.8</v>
      </c>
      <c r="V14" s="18">
        <v>43826.5</v>
      </c>
      <c r="W14" s="18">
        <v>35061.199999999997</v>
      </c>
      <c r="X14" s="18">
        <v>26295.9</v>
      </c>
      <c r="Y14" s="18">
        <v>17530.599999999999</v>
      </c>
      <c r="Z14" s="18">
        <v>8765.2999999999993</v>
      </c>
      <c r="AA14" s="18">
        <v>0</v>
      </c>
      <c r="AB14" s="18">
        <v>99310.86</v>
      </c>
      <c r="AC14" s="18">
        <v>90282.6</v>
      </c>
      <c r="AD14" s="18">
        <v>81254.34</v>
      </c>
      <c r="AE14" s="18">
        <v>72226.080000000002</v>
      </c>
      <c r="AF14" s="18">
        <v>63197.82</v>
      </c>
      <c r="AG14" s="18">
        <v>54169.56</v>
      </c>
      <c r="AH14" s="18">
        <v>45141.3</v>
      </c>
      <c r="AI14" s="18">
        <v>36113.040000000001</v>
      </c>
      <c r="AJ14" s="18">
        <v>27084.78</v>
      </c>
    </row>
    <row r="15" spans="1:36" x14ac:dyDescent="0.2">
      <c r="A15" t="s">
        <v>566</v>
      </c>
      <c r="B15" t="s">
        <v>567</v>
      </c>
      <c r="C15" s="18">
        <v>0</v>
      </c>
      <c r="D15" s="18">
        <v>26151.17</v>
      </c>
      <c r="E15" s="18">
        <v>48759.11</v>
      </c>
      <c r="F15" s="18">
        <v>71828.31</v>
      </c>
      <c r="G15" s="18">
        <v>26663.98</v>
      </c>
      <c r="H15" s="18">
        <v>50778.36</v>
      </c>
      <c r="I15" s="18">
        <v>68774.929999999993</v>
      </c>
      <c r="J15" s="18">
        <v>18920.919999999998</v>
      </c>
      <c r="K15" s="18">
        <v>43635.64</v>
      </c>
      <c r="L15" s="18">
        <v>68743.520000000004</v>
      </c>
      <c r="M15" s="18">
        <v>25097.51</v>
      </c>
      <c r="N15" s="18">
        <v>53880.7</v>
      </c>
      <c r="O15" s="18">
        <v>76908</v>
      </c>
      <c r="P15" s="18">
        <v>22879.52</v>
      </c>
      <c r="Q15" s="18">
        <v>48609</v>
      </c>
      <c r="R15" s="18">
        <v>94618.84</v>
      </c>
      <c r="S15" s="18">
        <v>41904.93</v>
      </c>
      <c r="T15" s="18">
        <v>73952.78</v>
      </c>
      <c r="U15" s="18">
        <v>100647.71</v>
      </c>
      <c r="V15" s="18">
        <v>29410.17</v>
      </c>
      <c r="W15" s="18">
        <v>58020.1</v>
      </c>
      <c r="X15" s="18">
        <v>84166.8</v>
      </c>
      <c r="Y15" s="18">
        <v>32192.82</v>
      </c>
      <c r="Z15" s="18">
        <v>69410.91</v>
      </c>
      <c r="AA15" s="18">
        <v>105752.71</v>
      </c>
      <c r="AB15" s="18">
        <v>33114.5</v>
      </c>
      <c r="AC15" s="18">
        <v>65227.72</v>
      </c>
      <c r="AD15" s="18">
        <v>95466.87</v>
      </c>
      <c r="AE15" s="18">
        <v>35657.83</v>
      </c>
      <c r="AF15" s="18">
        <v>72372.25</v>
      </c>
      <c r="AG15" s="18">
        <v>104133.11</v>
      </c>
      <c r="AH15" s="18">
        <v>30633.78</v>
      </c>
      <c r="AI15" s="18">
        <v>62300.34</v>
      </c>
      <c r="AJ15" s="18">
        <v>91131.520000000004</v>
      </c>
    </row>
    <row r="16" spans="1:36" x14ac:dyDescent="0.2">
      <c r="A16" t="s">
        <v>568</v>
      </c>
      <c r="B16" t="s">
        <v>569</v>
      </c>
      <c r="C16" s="18">
        <v>880000</v>
      </c>
      <c r="D16" s="18">
        <v>880000</v>
      </c>
      <c r="E16" s="18">
        <v>880000</v>
      </c>
      <c r="F16" s="18">
        <v>880000</v>
      </c>
      <c r="G16" s="18">
        <v>880000</v>
      </c>
      <c r="H16" s="18">
        <v>880000</v>
      </c>
      <c r="I16" s="18">
        <v>880000</v>
      </c>
      <c r="J16" s="18">
        <v>880000</v>
      </c>
      <c r="K16" s="18">
        <v>880000</v>
      </c>
      <c r="L16" s="18">
        <v>880000</v>
      </c>
      <c r="M16" s="18">
        <v>880000</v>
      </c>
      <c r="N16" s="18">
        <v>880000</v>
      </c>
      <c r="O16" s="18">
        <v>880000</v>
      </c>
      <c r="P16" s="18">
        <v>880000</v>
      </c>
      <c r="Q16" s="18">
        <v>880000</v>
      </c>
      <c r="R16" s="18">
        <v>1290000</v>
      </c>
      <c r="S16" s="18">
        <v>1290000</v>
      </c>
      <c r="T16" s="18">
        <v>1290000</v>
      </c>
      <c r="U16" s="18">
        <v>1290000</v>
      </c>
      <c r="V16" s="18">
        <v>1290000</v>
      </c>
      <c r="W16" s="18">
        <v>1290000</v>
      </c>
      <c r="X16" s="18">
        <v>1290000</v>
      </c>
      <c r="Y16" s="18">
        <v>1290000</v>
      </c>
      <c r="Z16" s="18">
        <v>1290000</v>
      </c>
      <c r="AA16" s="18">
        <v>1290000</v>
      </c>
      <c r="AB16" s="18">
        <v>1290000</v>
      </c>
      <c r="AC16" s="18">
        <v>1290000</v>
      </c>
      <c r="AD16" s="18">
        <v>1290000</v>
      </c>
      <c r="AE16" s="18">
        <v>1290000</v>
      </c>
      <c r="AF16" s="18">
        <v>1290000</v>
      </c>
      <c r="AG16" s="18">
        <v>1290000</v>
      </c>
      <c r="AH16" s="18">
        <v>1290000</v>
      </c>
      <c r="AI16" s="18">
        <v>1290000</v>
      </c>
      <c r="AJ16" s="18">
        <v>1290000</v>
      </c>
    </row>
    <row r="17" spans="1:36" x14ac:dyDescent="0.2">
      <c r="A17" t="s">
        <v>570</v>
      </c>
      <c r="B17" t="s">
        <v>571</v>
      </c>
      <c r="C17" s="18">
        <v>995000</v>
      </c>
      <c r="D17" s="18">
        <v>995000</v>
      </c>
      <c r="E17" s="18">
        <v>995000</v>
      </c>
      <c r="F17" s="18">
        <v>995000</v>
      </c>
      <c r="G17" s="18">
        <v>995000</v>
      </c>
      <c r="H17" s="18">
        <v>995000</v>
      </c>
      <c r="I17" s="18">
        <v>995000</v>
      </c>
      <c r="J17" s="18">
        <v>995000</v>
      </c>
      <c r="K17" s="18">
        <v>995000</v>
      </c>
      <c r="L17" s="18">
        <v>995000</v>
      </c>
      <c r="M17" s="18">
        <v>995000</v>
      </c>
      <c r="N17" s="18">
        <v>995000</v>
      </c>
      <c r="O17" s="18">
        <v>995000</v>
      </c>
      <c r="P17" s="18">
        <v>995000</v>
      </c>
      <c r="Q17" s="18">
        <v>995000</v>
      </c>
      <c r="R17" s="18">
        <v>995000</v>
      </c>
      <c r="S17" s="18">
        <v>1180000</v>
      </c>
      <c r="T17" s="18">
        <v>1180000</v>
      </c>
      <c r="U17" s="18">
        <v>1180000</v>
      </c>
      <c r="V17" s="18">
        <v>1180000</v>
      </c>
      <c r="W17" s="18">
        <v>1180000</v>
      </c>
      <c r="X17" s="18">
        <v>1180000</v>
      </c>
      <c r="Y17" s="18">
        <v>1180000</v>
      </c>
      <c r="Z17" s="18">
        <v>1180000</v>
      </c>
      <c r="AA17" s="18">
        <v>1180000</v>
      </c>
      <c r="AB17" s="18">
        <v>1180000</v>
      </c>
      <c r="AC17" s="18">
        <v>1222000</v>
      </c>
      <c r="AD17" s="18">
        <v>1222000</v>
      </c>
      <c r="AE17" s="18">
        <v>1222000</v>
      </c>
      <c r="AF17" s="18">
        <v>1317000</v>
      </c>
      <c r="AG17" s="18">
        <v>1317000</v>
      </c>
      <c r="AH17" s="18">
        <v>1317000</v>
      </c>
      <c r="AI17" s="18">
        <v>1317000</v>
      </c>
      <c r="AJ17" s="18">
        <v>1317000</v>
      </c>
    </row>
    <row r="18" spans="1:36" x14ac:dyDescent="0.2">
      <c r="A18" t="s">
        <v>572</v>
      </c>
      <c r="B18" t="s">
        <v>573</v>
      </c>
      <c r="C18" s="18">
        <v>143000</v>
      </c>
      <c r="D18" s="18">
        <v>143000</v>
      </c>
      <c r="E18" s="18">
        <v>143000</v>
      </c>
      <c r="F18" s="18">
        <v>143000</v>
      </c>
      <c r="G18" s="18">
        <v>143000</v>
      </c>
      <c r="H18" s="18">
        <v>143000</v>
      </c>
      <c r="I18" s="18">
        <v>143000</v>
      </c>
      <c r="J18" s="18">
        <v>143000</v>
      </c>
      <c r="K18" s="18">
        <v>143000</v>
      </c>
      <c r="L18" s="18">
        <v>211000</v>
      </c>
      <c r="M18" s="18">
        <v>211000</v>
      </c>
      <c r="N18" s="18">
        <v>211000</v>
      </c>
      <c r="O18" s="18">
        <v>211000</v>
      </c>
      <c r="P18" s="18">
        <v>211000</v>
      </c>
      <c r="Q18" s="18">
        <v>211000</v>
      </c>
      <c r="R18" s="18">
        <v>211000</v>
      </c>
      <c r="S18" s="18">
        <v>211000</v>
      </c>
      <c r="T18" s="18">
        <v>211000</v>
      </c>
      <c r="U18" s="18">
        <v>211000</v>
      </c>
      <c r="V18" s="18">
        <v>211000</v>
      </c>
      <c r="W18" s="18">
        <v>211000</v>
      </c>
      <c r="X18" s="18">
        <v>211000</v>
      </c>
      <c r="Y18" s="18">
        <v>211000</v>
      </c>
      <c r="Z18" s="18">
        <v>211000</v>
      </c>
      <c r="AA18" s="18">
        <v>211000</v>
      </c>
      <c r="AB18" s="18">
        <v>211000</v>
      </c>
      <c r="AC18" s="18">
        <v>211000</v>
      </c>
      <c r="AD18" s="18">
        <v>211000</v>
      </c>
      <c r="AE18" s="18">
        <v>211000</v>
      </c>
      <c r="AF18" s="18">
        <v>211000</v>
      </c>
      <c r="AG18" s="18">
        <v>211000</v>
      </c>
      <c r="AH18" s="18">
        <v>211000</v>
      </c>
      <c r="AI18" s="18">
        <v>211000</v>
      </c>
      <c r="AJ18" s="18">
        <v>211000</v>
      </c>
    </row>
    <row r="19" spans="1:36" x14ac:dyDescent="0.2">
      <c r="A19" t="s">
        <v>574</v>
      </c>
      <c r="B19" t="s">
        <v>575</v>
      </c>
      <c r="C19" s="18">
        <v>52000</v>
      </c>
      <c r="D19" s="18">
        <v>52000</v>
      </c>
      <c r="E19" s="18">
        <v>52000</v>
      </c>
      <c r="F19" s="18">
        <v>52000</v>
      </c>
      <c r="G19" s="18">
        <v>52000</v>
      </c>
      <c r="H19" s="18">
        <v>52000</v>
      </c>
      <c r="I19" s="18">
        <v>52000</v>
      </c>
      <c r="J19" s="18">
        <v>52000</v>
      </c>
      <c r="K19" s="18">
        <v>52000</v>
      </c>
      <c r="L19" s="18">
        <v>52000</v>
      </c>
      <c r="M19" s="18">
        <v>52000</v>
      </c>
      <c r="N19" s="18">
        <v>52000</v>
      </c>
      <c r="O19" s="18">
        <v>52000</v>
      </c>
      <c r="P19" s="18">
        <v>52000</v>
      </c>
      <c r="Q19" s="18">
        <v>52000</v>
      </c>
      <c r="R19" s="18">
        <v>52000</v>
      </c>
      <c r="S19" s="18">
        <v>130000</v>
      </c>
      <c r="T19" s="18">
        <v>130000</v>
      </c>
      <c r="U19" s="18">
        <v>130000</v>
      </c>
      <c r="V19" s="18">
        <v>130000</v>
      </c>
      <c r="W19" s="18">
        <v>130000</v>
      </c>
      <c r="X19" s="18">
        <v>130000</v>
      </c>
      <c r="Y19" s="18">
        <v>130000</v>
      </c>
      <c r="Z19" s="18">
        <v>130000</v>
      </c>
      <c r="AA19" s="18">
        <v>130000</v>
      </c>
      <c r="AB19" s="18">
        <v>130000</v>
      </c>
      <c r="AC19" s="18">
        <v>130000</v>
      </c>
      <c r="AD19" s="18">
        <v>130000</v>
      </c>
      <c r="AE19" s="18">
        <v>130000</v>
      </c>
      <c r="AF19" s="18">
        <v>130000</v>
      </c>
      <c r="AG19" s="18">
        <v>130000</v>
      </c>
      <c r="AH19" s="18">
        <v>130000</v>
      </c>
      <c r="AI19" s="18">
        <v>130000</v>
      </c>
      <c r="AJ19" s="18">
        <v>130000</v>
      </c>
    </row>
    <row r="20" spans="1:36" x14ac:dyDescent="0.2">
      <c r="A20" t="s">
        <v>576</v>
      </c>
      <c r="B20" t="s">
        <v>300</v>
      </c>
      <c r="C20" s="18">
        <v>-958847.49</v>
      </c>
      <c r="D20" s="18">
        <v>-974472.49</v>
      </c>
      <c r="E20" s="18">
        <v>-990097.49</v>
      </c>
      <c r="F20" s="18">
        <v>-1005722.49</v>
      </c>
      <c r="G20" s="18">
        <v>-1021347.49</v>
      </c>
      <c r="H20" s="18">
        <v>-1036972.49</v>
      </c>
      <c r="I20" s="18">
        <v>-1052597.49</v>
      </c>
      <c r="J20" s="18">
        <v>-1068222.49</v>
      </c>
      <c r="K20" s="18">
        <v>-1083847.49</v>
      </c>
      <c r="L20" s="18">
        <v>-1099472.49</v>
      </c>
      <c r="M20" s="18">
        <v>-1116230.82</v>
      </c>
      <c r="N20" s="18">
        <v>-1132989.1499999999</v>
      </c>
      <c r="O20" s="18">
        <v>-1149747.48</v>
      </c>
      <c r="P20" s="18">
        <v>-1166505.81</v>
      </c>
      <c r="Q20" s="18">
        <v>-1183264.1399999999</v>
      </c>
      <c r="R20" s="18">
        <v>-1200022.47</v>
      </c>
      <c r="S20" s="18">
        <v>-1220197.47</v>
      </c>
      <c r="T20" s="18">
        <v>-1243214.1399999999</v>
      </c>
      <c r="U20" s="18">
        <v>-1266230.81</v>
      </c>
      <c r="V20" s="18">
        <v>-1289247.48</v>
      </c>
      <c r="W20" s="18">
        <v>-1312264.1499999999</v>
      </c>
      <c r="X20" s="18">
        <v>-1335280.82</v>
      </c>
      <c r="Y20" s="18">
        <v>-1357297.49</v>
      </c>
      <c r="Z20" s="18">
        <v>-1379314.16</v>
      </c>
      <c r="AA20" s="18">
        <v>-1401330.83</v>
      </c>
      <c r="AB20" s="18">
        <v>-1423347.5</v>
      </c>
      <c r="AC20" s="18">
        <v>-1445364.17</v>
      </c>
      <c r="AD20" s="18">
        <v>-1467818.34</v>
      </c>
      <c r="AE20" s="18">
        <v>-1490272.51</v>
      </c>
      <c r="AF20" s="18">
        <v>-1512726.68</v>
      </c>
      <c r="AG20" s="18">
        <v>-1535972.52</v>
      </c>
      <c r="AH20" s="18">
        <v>-1559218.36</v>
      </c>
      <c r="AI20" s="18">
        <v>-1582464.2</v>
      </c>
      <c r="AJ20" s="18">
        <v>-1605710.04</v>
      </c>
    </row>
    <row r="21" spans="1:36" x14ac:dyDescent="0.2">
      <c r="A21" t="s">
        <v>577</v>
      </c>
      <c r="B21" t="s">
        <v>578</v>
      </c>
      <c r="C21" s="18">
        <v>-287206.12</v>
      </c>
      <c r="D21" s="18">
        <v>-402801.74</v>
      </c>
      <c r="E21" s="18">
        <v>-345476.99</v>
      </c>
      <c r="F21" s="18">
        <v>-322834.09999999998</v>
      </c>
      <c r="G21" s="18">
        <v>-415542.49</v>
      </c>
      <c r="H21" s="18">
        <v>-351991.15</v>
      </c>
      <c r="I21" s="18">
        <v>-239087.62</v>
      </c>
      <c r="J21" s="18">
        <v>-260025.31</v>
      </c>
      <c r="K21" s="18">
        <v>-369504.11</v>
      </c>
      <c r="L21" s="18">
        <v>-310747.74</v>
      </c>
      <c r="M21" s="18">
        <v>-371295.62</v>
      </c>
      <c r="N21" s="18">
        <v>-457377.51</v>
      </c>
      <c r="O21" s="18">
        <v>-341936.74</v>
      </c>
      <c r="P21" s="18">
        <v>-324831.74</v>
      </c>
      <c r="Q21" s="18">
        <v>-380771.64</v>
      </c>
      <c r="R21" s="18">
        <v>-348554.53</v>
      </c>
      <c r="S21" s="18">
        <v>-398250.7</v>
      </c>
      <c r="T21" s="18">
        <v>-434211.52</v>
      </c>
      <c r="U21" s="18">
        <v>-372190.99</v>
      </c>
      <c r="V21" s="18">
        <v>-431523.18</v>
      </c>
      <c r="W21" s="18">
        <v>-394198.51</v>
      </c>
      <c r="X21" s="18">
        <v>-363498.66</v>
      </c>
      <c r="Y21" s="18">
        <v>-463916.38</v>
      </c>
      <c r="Z21" s="18">
        <v>-588965.62</v>
      </c>
      <c r="AA21" s="18">
        <v>-531371.56999999995</v>
      </c>
      <c r="AB21" s="18">
        <v>-491352.18</v>
      </c>
      <c r="AC21" s="18">
        <v>-457041.33</v>
      </c>
      <c r="AD21" s="18">
        <v>-444145.91</v>
      </c>
      <c r="AE21" s="18">
        <v>-563960.4</v>
      </c>
      <c r="AF21" s="18">
        <v>-462655.45</v>
      </c>
      <c r="AG21" s="18">
        <v>-477750.47</v>
      </c>
      <c r="AH21" s="18">
        <v>-453526.89</v>
      </c>
      <c r="AI21" s="18">
        <v>-475598.81</v>
      </c>
      <c r="AJ21" s="18">
        <v>-418107.2</v>
      </c>
    </row>
    <row r="22" spans="1:36" x14ac:dyDescent="0.2">
      <c r="A22" t="s">
        <v>579</v>
      </c>
      <c r="B22" t="s">
        <v>580</v>
      </c>
      <c r="C22" s="18">
        <v>-79072.13</v>
      </c>
      <c r="D22" s="18">
        <v>-87569.19</v>
      </c>
      <c r="E22" s="18">
        <v>-89903.03</v>
      </c>
      <c r="F22" s="18">
        <v>-85773.14</v>
      </c>
      <c r="G22" s="18">
        <v>-85336.48</v>
      </c>
      <c r="H22" s="18">
        <v>-79090.66</v>
      </c>
      <c r="I22" s="18">
        <v>-77598</v>
      </c>
      <c r="J22" s="18">
        <v>-72768.5</v>
      </c>
      <c r="K22" s="18">
        <v>-76136.600000000006</v>
      </c>
      <c r="L22" s="18">
        <v>-84361.47</v>
      </c>
      <c r="M22" s="18">
        <v>-79708.100000000006</v>
      </c>
      <c r="N22" s="18">
        <v>-88569.75</v>
      </c>
      <c r="O22" s="18">
        <v>-82720.63</v>
      </c>
      <c r="P22" s="18">
        <v>-93560.59</v>
      </c>
      <c r="Q22" s="18">
        <v>-94799.73</v>
      </c>
      <c r="R22" s="18">
        <v>-95131.14</v>
      </c>
      <c r="S22" s="18">
        <v>-119530.75</v>
      </c>
      <c r="T22" s="18">
        <v>-129837.82</v>
      </c>
      <c r="U22" s="18">
        <v>-105363.58</v>
      </c>
      <c r="V22" s="18">
        <v>-101071.26</v>
      </c>
      <c r="W22" s="18">
        <v>-106905.13</v>
      </c>
      <c r="X22" s="18">
        <v>-101333.75</v>
      </c>
      <c r="Y22" s="18">
        <v>-112077.66</v>
      </c>
      <c r="Z22" s="18">
        <v>-114766.72</v>
      </c>
      <c r="AA22" s="18">
        <v>-108266.31</v>
      </c>
      <c r="AB22" s="18">
        <v>-119342.32</v>
      </c>
      <c r="AC22" s="18">
        <v>-111799.25</v>
      </c>
      <c r="AD22" s="18">
        <v>-108061.96</v>
      </c>
      <c r="AE22" s="18">
        <v>-109698.61</v>
      </c>
      <c r="AF22" s="18">
        <v>-110085.22</v>
      </c>
      <c r="AG22" s="18">
        <v>-106825.87</v>
      </c>
      <c r="AH22" s="18">
        <v>-106748.06</v>
      </c>
      <c r="AI22" s="18">
        <v>-105098.39</v>
      </c>
      <c r="AJ22" s="18">
        <v>-108548.74</v>
      </c>
    </row>
    <row r="23" spans="1:36" x14ac:dyDescent="0.2">
      <c r="A23" t="s">
        <v>581</v>
      </c>
      <c r="B23" t="s">
        <v>308</v>
      </c>
      <c r="C23" s="18">
        <v>-138136.12</v>
      </c>
      <c r="D23" s="18">
        <v>-150143.15</v>
      </c>
      <c r="E23" s="18">
        <v>-145168.34</v>
      </c>
      <c r="F23" s="18">
        <v>-142336.91</v>
      </c>
      <c r="G23" s="18">
        <v>-150553.24</v>
      </c>
      <c r="H23" s="18">
        <v>-149610.73000000001</v>
      </c>
      <c r="I23" s="18">
        <v>-137532.62</v>
      </c>
      <c r="J23" s="18">
        <v>-143783.69</v>
      </c>
      <c r="K23" s="18">
        <v>-153301.57999999999</v>
      </c>
      <c r="L23" s="18">
        <v>-146839.54999999999</v>
      </c>
      <c r="M23" s="18">
        <v>-151006.51</v>
      </c>
      <c r="N23" s="18">
        <v>-143394.72</v>
      </c>
      <c r="O23" s="18">
        <v>-147092.04999999999</v>
      </c>
      <c r="P23" s="18">
        <v>-161740.07999999999</v>
      </c>
      <c r="Q23" s="18">
        <v>-150990.22</v>
      </c>
      <c r="R23" s="18">
        <v>-161320.69</v>
      </c>
      <c r="S23" s="18">
        <v>-171142.39999999999</v>
      </c>
      <c r="T23" s="18">
        <v>-197321.89</v>
      </c>
      <c r="U23" s="18">
        <v>-195120.66</v>
      </c>
      <c r="V23" s="18">
        <v>-206390.83</v>
      </c>
      <c r="W23" s="18">
        <v>-203528.52</v>
      </c>
      <c r="X23" s="18">
        <v>-202537.98</v>
      </c>
      <c r="Y23" s="18">
        <v>-202427.34</v>
      </c>
      <c r="Z23" s="18">
        <v>-187868.53</v>
      </c>
      <c r="AA23" s="18">
        <v>-209720.11</v>
      </c>
      <c r="AB23" s="18">
        <v>-218477.03</v>
      </c>
      <c r="AC23" s="18">
        <v>-199435.62</v>
      </c>
      <c r="AD23" s="18">
        <v>-221103.3</v>
      </c>
      <c r="AE23" s="18">
        <v>-208991.81</v>
      </c>
      <c r="AF23" s="18">
        <v>-199642.31</v>
      </c>
      <c r="AG23" s="18">
        <v>-216983.13</v>
      </c>
      <c r="AH23" s="18">
        <v>-223795.3</v>
      </c>
      <c r="AI23" s="18">
        <v>-216752.45</v>
      </c>
      <c r="AJ23" s="18">
        <v>-211225.52</v>
      </c>
    </row>
    <row r="24" spans="1:36" x14ac:dyDescent="0.2">
      <c r="A24" t="s">
        <v>582</v>
      </c>
      <c r="B24" t="s">
        <v>583</v>
      </c>
      <c r="C24" s="18">
        <v>-31253.1</v>
      </c>
      <c r="D24" s="18">
        <v>-38524.36</v>
      </c>
      <c r="E24" s="18">
        <v>-84587.98</v>
      </c>
      <c r="F24" s="18">
        <v>-125049.83</v>
      </c>
      <c r="G24" s="18">
        <v>-48580.51</v>
      </c>
      <c r="H24" s="18">
        <v>-99606.99</v>
      </c>
      <c r="I24" s="18">
        <v>-132183.85</v>
      </c>
      <c r="J24" s="18">
        <v>-30386.15</v>
      </c>
      <c r="K24" s="18">
        <v>-65201.81</v>
      </c>
      <c r="L24" s="18">
        <v>-109469.92</v>
      </c>
      <c r="M24" s="18">
        <v>-48399.54</v>
      </c>
      <c r="N24" s="18">
        <v>-96998.67</v>
      </c>
      <c r="O24" s="18">
        <v>-133798.71</v>
      </c>
      <c r="P24" s="18">
        <v>-46684.55</v>
      </c>
      <c r="Q24" s="18">
        <v>-90556.69</v>
      </c>
      <c r="R24" s="18">
        <v>-136844.84</v>
      </c>
      <c r="S24" s="18">
        <v>-41131.839999999997</v>
      </c>
      <c r="T24" s="18">
        <v>-96872.9</v>
      </c>
      <c r="U24" s="18">
        <v>-141170.20000000001</v>
      </c>
      <c r="V24" s="18">
        <v>-48373.53</v>
      </c>
      <c r="W24" s="18">
        <v>-105073.42</v>
      </c>
      <c r="X24" s="18">
        <v>-154307.66</v>
      </c>
      <c r="Y24" s="18">
        <v>-58667.07</v>
      </c>
      <c r="Z24" s="18">
        <v>-113359.62</v>
      </c>
      <c r="AA24" s="18">
        <v>-164150.38</v>
      </c>
      <c r="AB24" s="18">
        <v>-73997.509999999995</v>
      </c>
      <c r="AC24" s="18">
        <v>-130327.25</v>
      </c>
      <c r="AD24" s="18">
        <v>-190456.82</v>
      </c>
      <c r="AE24" s="18">
        <v>-68118.59</v>
      </c>
      <c r="AF24" s="18">
        <v>-129372.53</v>
      </c>
      <c r="AG24" s="18">
        <v>-186524.41</v>
      </c>
      <c r="AH24" s="18">
        <v>-56651.53</v>
      </c>
      <c r="AI24" s="18">
        <v>-116408.24</v>
      </c>
      <c r="AJ24" s="18">
        <v>-172417.44</v>
      </c>
    </row>
    <row r="25" spans="1:36" x14ac:dyDescent="0.2">
      <c r="A25" t="s">
        <v>584</v>
      </c>
      <c r="B25" t="s">
        <v>585</v>
      </c>
      <c r="C25" s="18">
        <v>-62000</v>
      </c>
      <c r="D25" s="18">
        <v>-62037.5</v>
      </c>
      <c r="E25" s="18">
        <v>-72327.360000000001</v>
      </c>
      <c r="F25" s="18">
        <v>-13492.24</v>
      </c>
      <c r="G25" s="18">
        <v>-25392.799999999999</v>
      </c>
      <c r="H25" s="18">
        <v>-39528.33</v>
      </c>
      <c r="I25" s="18">
        <v>-35519.03</v>
      </c>
      <c r="J25" s="18">
        <v>-28505.11</v>
      </c>
      <c r="K25" s="18">
        <v>-27509.21</v>
      </c>
      <c r="L25" s="18">
        <v>-34835.300000000003</v>
      </c>
      <c r="M25" s="18">
        <v>-46051.33</v>
      </c>
      <c r="N25" s="18">
        <v>-62574.82</v>
      </c>
      <c r="O25" s="18">
        <v>-56214.239999999998</v>
      </c>
      <c r="P25" s="18">
        <v>-63325.82</v>
      </c>
      <c r="Q25" s="18">
        <v>-67258.33</v>
      </c>
      <c r="R25" s="18">
        <v>-15189</v>
      </c>
      <c r="S25" s="18">
        <v>-7096.75</v>
      </c>
      <c r="T25" s="18">
        <v>-8469.91</v>
      </c>
      <c r="U25" s="18">
        <v>-1759.47</v>
      </c>
      <c r="V25" s="18">
        <v>0</v>
      </c>
      <c r="W25" s="18">
        <v>-4784.26</v>
      </c>
      <c r="X25" s="18">
        <v>-5039.2</v>
      </c>
      <c r="Y25" s="18">
        <v>-13708.11</v>
      </c>
      <c r="Z25" s="18">
        <v>-18526.95</v>
      </c>
      <c r="AA25" s="18">
        <v>-15621.16</v>
      </c>
      <c r="AB25" s="18">
        <v>-35926.14</v>
      </c>
      <c r="AC25" s="18">
        <v>-40355.82</v>
      </c>
      <c r="AD25" s="18">
        <v>-33959.32</v>
      </c>
      <c r="AE25" s="18">
        <v>-54869.25</v>
      </c>
      <c r="AF25" s="18">
        <v>-77531.86</v>
      </c>
      <c r="AG25" s="18">
        <v>-91775.97</v>
      </c>
      <c r="AH25" s="18">
        <v>-105057.26</v>
      </c>
      <c r="AI25" s="18">
        <v>-122583.22</v>
      </c>
      <c r="AJ25" s="18">
        <v>-134250.03</v>
      </c>
    </row>
    <row r="26" spans="1:36" x14ac:dyDescent="0.2">
      <c r="A26" t="s">
        <v>586</v>
      </c>
      <c r="B26" t="s">
        <v>587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</row>
    <row r="27" spans="1:36" x14ac:dyDescent="0.2">
      <c r="A27" t="s">
        <v>588</v>
      </c>
      <c r="B27" t="s">
        <v>589</v>
      </c>
      <c r="C27" s="18">
        <v>-420000</v>
      </c>
      <c r="D27" s="18">
        <v>-411250</v>
      </c>
      <c r="E27" s="18">
        <v>-402500</v>
      </c>
      <c r="F27" s="18">
        <v>-393750</v>
      </c>
      <c r="G27" s="18">
        <v>-385000</v>
      </c>
      <c r="H27" s="18">
        <v>-376250</v>
      </c>
      <c r="I27" s="18">
        <v>-367500</v>
      </c>
      <c r="J27" s="18">
        <v>-358750</v>
      </c>
      <c r="K27" s="18">
        <v>-350000</v>
      </c>
      <c r="L27" s="18">
        <v>-341250</v>
      </c>
      <c r="M27" s="18">
        <v>-332500</v>
      </c>
      <c r="N27" s="18">
        <v>-323750</v>
      </c>
      <c r="O27" s="18">
        <v>-315000</v>
      </c>
      <c r="P27" s="18">
        <v>-306250</v>
      </c>
      <c r="Q27" s="18">
        <v>-297500</v>
      </c>
      <c r="R27" s="18">
        <v>-738750</v>
      </c>
      <c r="S27" s="18">
        <v>-722500</v>
      </c>
      <c r="T27" s="18">
        <v>-706250</v>
      </c>
      <c r="U27" s="18">
        <v>-690000</v>
      </c>
      <c r="V27" s="18">
        <v>-673750</v>
      </c>
      <c r="W27" s="18">
        <v>-657500</v>
      </c>
      <c r="X27" s="18">
        <v>-641250</v>
      </c>
      <c r="Y27" s="18">
        <v>-625000</v>
      </c>
      <c r="Z27" s="18">
        <v>-608750</v>
      </c>
      <c r="AA27" s="18">
        <v>-592500</v>
      </c>
      <c r="AB27" s="18">
        <v>-576250</v>
      </c>
      <c r="AC27" s="18">
        <v>-560000</v>
      </c>
      <c r="AD27" s="18">
        <v>-543750</v>
      </c>
      <c r="AE27" s="18">
        <v>-527500</v>
      </c>
      <c r="AF27" s="18">
        <v>-511250</v>
      </c>
      <c r="AG27" s="18">
        <v>-495000</v>
      </c>
      <c r="AH27" s="18">
        <v>-478750</v>
      </c>
      <c r="AI27" s="18">
        <v>-462500</v>
      </c>
      <c r="AJ27" s="18">
        <v>-446250</v>
      </c>
    </row>
    <row r="28" spans="1:36" x14ac:dyDescent="0.2">
      <c r="A28" t="s">
        <v>590</v>
      </c>
      <c r="B28" t="s">
        <v>324</v>
      </c>
      <c r="C28" s="18">
        <v>-200000</v>
      </c>
      <c r="D28" s="18">
        <v>-200000</v>
      </c>
      <c r="E28" s="18">
        <v>-200000</v>
      </c>
      <c r="F28" s="18">
        <v>-200000</v>
      </c>
      <c r="G28" s="18">
        <v>-200000</v>
      </c>
      <c r="H28" s="18">
        <v>-200000</v>
      </c>
      <c r="I28" s="18">
        <v>-200000</v>
      </c>
      <c r="J28" s="18">
        <v>-200000</v>
      </c>
      <c r="K28" s="18">
        <v>-200000</v>
      </c>
      <c r="L28" s="18">
        <v>-200000</v>
      </c>
      <c r="M28" s="18">
        <v>-200000</v>
      </c>
      <c r="N28" s="18">
        <v>-200000</v>
      </c>
      <c r="O28" s="18">
        <v>-200000</v>
      </c>
      <c r="P28" s="18">
        <v>-200000</v>
      </c>
      <c r="Q28" s="18">
        <v>-200000</v>
      </c>
      <c r="R28" s="18">
        <v>-200000</v>
      </c>
      <c r="S28" s="18">
        <v>-200000</v>
      </c>
      <c r="T28" s="18">
        <v>-200000</v>
      </c>
      <c r="U28" s="18">
        <v>-200000</v>
      </c>
      <c r="V28" s="18">
        <v>-200000</v>
      </c>
      <c r="W28" s="18">
        <v>-200000</v>
      </c>
      <c r="X28" s="18">
        <v>-200000</v>
      </c>
      <c r="Y28" s="18">
        <v>-200000</v>
      </c>
      <c r="Z28" s="18">
        <v>-200000</v>
      </c>
      <c r="AA28" s="18">
        <v>-200000</v>
      </c>
      <c r="AB28" s="18">
        <v>-200000</v>
      </c>
      <c r="AC28" s="18">
        <v>-200000</v>
      </c>
      <c r="AD28" s="18">
        <v>-200000</v>
      </c>
      <c r="AE28" s="18">
        <v>-200000</v>
      </c>
      <c r="AF28" s="18">
        <v>-200000</v>
      </c>
      <c r="AG28" s="18">
        <v>-200000</v>
      </c>
      <c r="AH28" s="18">
        <v>-200000</v>
      </c>
      <c r="AI28" s="18">
        <v>-200000</v>
      </c>
      <c r="AJ28" s="18">
        <v>-200000</v>
      </c>
    </row>
    <row r="29" spans="1:36" x14ac:dyDescent="0.2">
      <c r="A29" t="s">
        <v>591</v>
      </c>
      <c r="B29" t="s">
        <v>326</v>
      </c>
      <c r="C29" s="18">
        <v>-1040918.91</v>
      </c>
      <c r="D29" s="18">
        <v>-1040918.91</v>
      </c>
      <c r="E29" s="18">
        <v>-1040918.91</v>
      </c>
      <c r="F29" s="18">
        <v>-1040918.91</v>
      </c>
      <c r="G29" s="18">
        <v>-1040918.91</v>
      </c>
      <c r="H29" s="18">
        <v>-1040918.91</v>
      </c>
      <c r="I29" s="18">
        <v>-1040918.91</v>
      </c>
      <c r="J29" s="18">
        <v>-1040918.91</v>
      </c>
      <c r="K29" s="18">
        <v>-1040918.91</v>
      </c>
      <c r="L29" s="18">
        <v>-1040918.91</v>
      </c>
      <c r="M29" s="18">
        <v>-1040918.91</v>
      </c>
      <c r="N29" s="18">
        <v>-1040918.91</v>
      </c>
      <c r="O29" s="18">
        <v>-1310983.99</v>
      </c>
      <c r="P29" s="18">
        <v>-1310983.99</v>
      </c>
      <c r="Q29" s="18">
        <v>-1310983.99</v>
      </c>
      <c r="R29" s="18">
        <v>-1310983.99</v>
      </c>
      <c r="S29" s="18">
        <v>-1310983.99</v>
      </c>
      <c r="T29" s="18">
        <v>-1310983.99</v>
      </c>
      <c r="U29" s="18">
        <v>-1310983.99</v>
      </c>
      <c r="V29" s="18">
        <v>-1310983.99</v>
      </c>
      <c r="W29" s="18">
        <v>-1310983.99</v>
      </c>
      <c r="X29" s="18">
        <v>-1310983.99</v>
      </c>
      <c r="Y29" s="18">
        <v>-1310983.99</v>
      </c>
      <c r="Z29" s="18">
        <v>-1310983.99</v>
      </c>
      <c r="AA29" s="18">
        <v>-1387373.35</v>
      </c>
      <c r="AB29" s="18">
        <v>-1387373.35</v>
      </c>
      <c r="AC29" s="18">
        <v>-1387373.35</v>
      </c>
      <c r="AD29" s="18">
        <v>-1387373.35</v>
      </c>
      <c r="AE29" s="18">
        <v>-1387373.35</v>
      </c>
      <c r="AF29" s="18">
        <v>-1387373.35</v>
      </c>
      <c r="AG29" s="18">
        <v>-1387373.35</v>
      </c>
      <c r="AH29" s="18">
        <v>-1387373.35</v>
      </c>
      <c r="AI29" s="18">
        <v>-1387373.35</v>
      </c>
      <c r="AJ29" s="18">
        <v>-1387373.35</v>
      </c>
    </row>
    <row r="30" spans="1:36" x14ac:dyDescent="0.2">
      <c r="A30" t="s">
        <v>592</v>
      </c>
      <c r="B30" t="s">
        <v>593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</row>
    <row r="31" spans="1:36" x14ac:dyDescent="0.2">
      <c r="A31" t="s">
        <v>594</v>
      </c>
      <c r="B31" t="s">
        <v>222</v>
      </c>
      <c r="C31" s="18">
        <v>0</v>
      </c>
      <c r="D31" s="18">
        <v>-535748.84</v>
      </c>
      <c r="E31" s="18">
        <v>-1232961.17</v>
      </c>
      <c r="F31" s="18">
        <v>-1833061.67</v>
      </c>
      <c r="G31" s="18">
        <v>-2469055.42</v>
      </c>
      <c r="H31" s="18">
        <v>-3110908.1</v>
      </c>
      <c r="I31" s="18">
        <v>-3496252.2</v>
      </c>
      <c r="J31" s="18">
        <v>-3878165.37</v>
      </c>
      <c r="K31" s="18">
        <v>-4295118.6500000004</v>
      </c>
      <c r="L31" s="18">
        <v>-4941480.24</v>
      </c>
      <c r="M31" s="18">
        <v>-5480300.7800000003</v>
      </c>
      <c r="N31" s="18">
        <v>-6057121.9100000001</v>
      </c>
      <c r="O31" s="18">
        <v>0</v>
      </c>
      <c r="P31" s="18">
        <v>-699721.5</v>
      </c>
      <c r="Q31" s="18">
        <v>-1316810.25</v>
      </c>
      <c r="R31" s="18">
        <v>-1965262.14</v>
      </c>
      <c r="S31" s="18">
        <v>-2464613.98</v>
      </c>
      <c r="T31" s="18">
        <v>-3133030.43</v>
      </c>
      <c r="U31" s="18">
        <v>-3681717.23</v>
      </c>
      <c r="V31" s="18">
        <v>-4306383.8099999996</v>
      </c>
      <c r="W31" s="18">
        <v>-5072111.3499999996</v>
      </c>
      <c r="X31" s="18">
        <v>-5730097.6600000001</v>
      </c>
      <c r="Y31" s="18">
        <v>-6387254.7400000002</v>
      </c>
      <c r="Z31" s="18">
        <v>-6950950.2199999997</v>
      </c>
      <c r="AA31" s="18">
        <v>0</v>
      </c>
      <c r="AB31" s="18">
        <v>-1115733.07</v>
      </c>
      <c r="AC31" s="18">
        <v>-1947372.99</v>
      </c>
      <c r="AD31" s="18">
        <v>-2767176.77</v>
      </c>
      <c r="AE31" s="18">
        <v>-3563932.62</v>
      </c>
      <c r="AF31" s="18">
        <v>-4192456</v>
      </c>
      <c r="AG31" s="18">
        <v>-4835535.8</v>
      </c>
      <c r="AH31" s="18">
        <v>-5509893.54</v>
      </c>
      <c r="AI31" s="18">
        <v>-6267350.4699999997</v>
      </c>
      <c r="AJ31" s="18">
        <v>-6935225.0700000003</v>
      </c>
    </row>
    <row r="32" spans="1:36" x14ac:dyDescent="0.2">
      <c r="A32" t="s">
        <v>595</v>
      </c>
      <c r="B32" t="s">
        <v>224</v>
      </c>
      <c r="C32" s="18">
        <v>0</v>
      </c>
      <c r="D32" s="18">
        <v>-185909.12</v>
      </c>
      <c r="E32" s="18">
        <v>-373155.64</v>
      </c>
      <c r="F32" s="18">
        <v>-527369.68000000005</v>
      </c>
      <c r="G32" s="18">
        <v>-793618.08</v>
      </c>
      <c r="H32" s="18">
        <v>-1107219.6599999999</v>
      </c>
      <c r="I32" s="18">
        <v>-1315494.49</v>
      </c>
      <c r="J32" s="18">
        <v>-1484592.49</v>
      </c>
      <c r="K32" s="18">
        <v>-1662940.9</v>
      </c>
      <c r="L32" s="18">
        <v>-1852999.4</v>
      </c>
      <c r="M32" s="18">
        <v>-2222088.2999999998</v>
      </c>
      <c r="N32" s="18">
        <v>-2569956.94</v>
      </c>
      <c r="O32" s="18">
        <v>0</v>
      </c>
      <c r="P32" s="18">
        <v>-186033.77</v>
      </c>
      <c r="Q32" s="18">
        <v>-404822.68</v>
      </c>
      <c r="R32" s="18">
        <v>-608144.86</v>
      </c>
      <c r="S32" s="18">
        <v>-869068.35</v>
      </c>
      <c r="T32" s="18">
        <v>-1212145.6299999999</v>
      </c>
      <c r="U32" s="18">
        <v>-1440963.41</v>
      </c>
      <c r="V32" s="18">
        <v>-1665337.93</v>
      </c>
      <c r="W32" s="18">
        <v>-1879882.2</v>
      </c>
      <c r="X32" s="18">
        <v>-2093391.96</v>
      </c>
      <c r="Y32" s="18">
        <v>-2498464.37</v>
      </c>
      <c r="Z32" s="18">
        <v>-2939127.52</v>
      </c>
      <c r="AA32" s="18">
        <v>0</v>
      </c>
      <c r="AB32" s="18">
        <v>-270709.69</v>
      </c>
      <c r="AC32" s="18">
        <v>-484544.74</v>
      </c>
      <c r="AD32" s="18">
        <v>-722563.68</v>
      </c>
      <c r="AE32" s="18">
        <v>-1105661.92</v>
      </c>
      <c r="AF32" s="18">
        <v>-1545242.28</v>
      </c>
      <c r="AG32" s="18">
        <v>-1856251.24</v>
      </c>
      <c r="AH32" s="18">
        <v>-2092621.47</v>
      </c>
      <c r="AI32" s="18">
        <v>-2340925.8199999998</v>
      </c>
      <c r="AJ32" s="18">
        <v>-2601799.2999999998</v>
      </c>
    </row>
    <row r="33" spans="1:36" x14ac:dyDescent="0.2">
      <c r="A33" t="s">
        <v>596</v>
      </c>
      <c r="B33" t="s">
        <v>226</v>
      </c>
      <c r="C33" s="18">
        <v>0</v>
      </c>
      <c r="D33" s="18">
        <v>-6032.6</v>
      </c>
      <c r="E33" s="18">
        <v>-11717.2</v>
      </c>
      <c r="F33" s="18">
        <v>-24187.200000000001</v>
      </c>
      <c r="G33" s="18">
        <v>-40080</v>
      </c>
      <c r="H33" s="18">
        <v>-54055</v>
      </c>
      <c r="I33" s="18">
        <v>-69294.2</v>
      </c>
      <c r="J33" s="18">
        <v>-85642.8</v>
      </c>
      <c r="K33" s="18">
        <v>-104992.8</v>
      </c>
      <c r="L33" s="18">
        <v>-115932</v>
      </c>
      <c r="M33" s="18">
        <v>-129124.4</v>
      </c>
      <c r="N33" s="18">
        <v>-138386.6</v>
      </c>
      <c r="O33" s="18">
        <v>0</v>
      </c>
      <c r="P33" s="18">
        <v>-10414.799999999999</v>
      </c>
      <c r="Q33" s="18">
        <v>-17686.8</v>
      </c>
      <c r="R33" s="18">
        <v>-28054.799999999999</v>
      </c>
      <c r="S33" s="18">
        <v>-45172.800000000003</v>
      </c>
      <c r="T33" s="18">
        <v>-75529.8</v>
      </c>
      <c r="U33" s="18">
        <v>-113194.8</v>
      </c>
      <c r="V33" s="18">
        <v>-147943.79999999999</v>
      </c>
      <c r="W33" s="18">
        <v>-178741.8</v>
      </c>
      <c r="X33" s="18">
        <v>-214966.8</v>
      </c>
      <c r="Y33" s="18">
        <v>-248635.8</v>
      </c>
      <c r="Z33" s="18">
        <v>-266239.8</v>
      </c>
      <c r="AA33" s="18">
        <v>0</v>
      </c>
      <c r="AB33" s="18">
        <v>-22839.8</v>
      </c>
      <c r="AC33" s="18">
        <v>-47035.4</v>
      </c>
      <c r="AD33" s="18">
        <v>-85331</v>
      </c>
      <c r="AE33" s="18">
        <v>-146844.6</v>
      </c>
      <c r="AF33" s="18">
        <v>-204504.2</v>
      </c>
      <c r="AG33" s="18">
        <v>-270708.40000000002</v>
      </c>
      <c r="AH33" s="18">
        <v>-312829.8</v>
      </c>
      <c r="AI33" s="18">
        <v>-366165.4</v>
      </c>
      <c r="AJ33" s="18">
        <v>-421992</v>
      </c>
    </row>
    <row r="34" spans="1:36" x14ac:dyDescent="0.2">
      <c r="A34" t="s">
        <v>597</v>
      </c>
      <c r="B34" t="s">
        <v>228</v>
      </c>
      <c r="C34" s="18">
        <v>0</v>
      </c>
      <c r="D34" s="18">
        <v>-36990.19</v>
      </c>
      <c r="E34" s="18">
        <v>-65669.679999999993</v>
      </c>
      <c r="F34" s="18">
        <v>-102785.91</v>
      </c>
      <c r="G34" s="18">
        <v>-152598.04999999999</v>
      </c>
      <c r="H34" s="18">
        <v>-198977.6</v>
      </c>
      <c r="I34" s="18">
        <v>-236302.97</v>
      </c>
      <c r="J34" s="18">
        <v>-273048.53999999998</v>
      </c>
      <c r="K34" s="18">
        <v>-312187.25</v>
      </c>
      <c r="L34" s="18">
        <v>-337780.76</v>
      </c>
      <c r="M34" s="18">
        <v>-376445.64</v>
      </c>
      <c r="N34" s="18">
        <v>-409742.92</v>
      </c>
      <c r="O34" s="18">
        <v>0</v>
      </c>
      <c r="P34" s="18">
        <v>-34216.230000000003</v>
      </c>
      <c r="Q34" s="18">
        <v>-63371.95</v>
      </c>
      <c r="R34" s="18">
        <v>-118011.57</v>
      </c>
      <c r="S34" s="18">
        <v>-158939.43</v>
      </c>
      <c r="T34" s="18">
        <v>-217752.67</v>
      </c>
      <c r="U34" s="18">
        <v>-264254.51</v>
      </c>
      <c r="V34" s="18">
        <v>-300437.2</v>
      </c>
      <c r="W34" s="18">
        <v>-350950.76</v>
      </c>
      <c r="X34" s="18">
        <v>-378481.48</v>
      </c>
      <c r="Y34" s="18">
        <v>-416270.87</v>
      </c>
      <c r="Z34" s="18">
        <v>-455355.03</v>
      </c>
      <c r="AA34" s="18">
        <v>0</v>
      </c>
      <c r="AB34" s="18">
        <v>-37113.25</v>
      </c>
      <c r="AC34" s="18">
        <v>-75744.009999999995</v>
      </c>
      <c r="AD34" s="18">
        <v>-126222.39999999999</v>
      </c>
      <c r="AE34" s="18">
        <v>-178483.20000000001</v>
      </c>
      <c r="AF34" s="18">
        <v>-231325.89</v>
      </c>
      <c r="AG34" s="18">
        <v>-276079.87</v>
      </c>
      <c r="AH34" s="18">
        <v>-321281.81</v>
      </c>
      <c r="AI34" s="18">
        <v>-390833.37</v>
      </c>
      <c r="AJ34" s="18">
        <v>-444535.72</v>
      </c>
    </row>
    <row r="35" spans="1:36" x14ac:dyDescent="0.2">
      <c r="A35" t="s">
        <v>598</v>
      </c>
      <c r="B35" t="s">
        <v>230</v>
      </c>
      <c r="C35" s="18">
        <v>0</v>
      </c>
      <c r="D35" s="18">
        <v>-8595.16</v>
      </c>
      <c r="E35" s="18">
        <v>-15220.81</v>
      </c>
      <c r="F35" s="18">
        <v>-24295.16</v>
      </c>
      <c r="G35" s="18">
        <v>-32964.160000000003</v>
      </c>
      <c r="H35" s="18">
        <v>-42227.13</v>
      </c>
      <c r="I35" s="18">
        <v>-50564.6</v>
      </c>
      <c r="J35" s="18">
        <v>-57989.31</v>
      </c>
      <c r="K35" s="18">
        <v>-106407.93</v>
      </c>
      <c r="L35" s="18">
        <v>-124179.13</v>
      </c>
      <c r="M35" s="18">
        <v>-136828.89000000001</v>
      </c>
      <c r="N35" s="18">
        <v>-146480.32999999999</v>
      </c>
      <c r="O35" s="18">
        <v>0</v>
      </c>
      <c r="P35" s="18">
        <v>-9919.6299999999992</v>
      </c>
      <c r="Q35" s="18">
        <v>-19332.53</v>
      </c>
      <c r="R35" s="18">
        <v>-31912.02</v>
      </c>
      <c r="S35" s="18">
        <v>-40834.800000000003</v>
      </c>
      <c r="T35" s="18">
        <v>-59670.03</v>
      </c>
      <c r="U35" s="18">
        <v>-89961.61</v>
      </c>
      <c r="V35" s="18">
        <v>-146317.85999999999</v>
      </c>
      <c r="W35" s="18">
        <v>-226618.37</v>
      </c>
      <c r="X35" s="18">
        <v>-281322.58</v>
      </c>
      <c r="Y35" s="18">
        <v>-326167.52</v>
      </c>
      <c r="Z35" s="18">
        <v>-364224.26</v>
      </c>
      <c r="AA35" s="18">
        <v>0</v>
      </c>
      <c r="AB35" s="18">
        <v>-46911.53</v>
      </c>
      <c r="AC35" s="18">
        <v>-76129.78</v>
      </c>
      <c r="AD35" s="18">
        <v>-139111.31</v>
      </c>
      <c r="AE35" s="18">
        <v>-216386.2</v>
      </c>
      <c r="AF35" s="18">
        <v>-270437.57</v>
      </c>
      <c r="AG35" s="18">
        <v>-356963.36</v>
      </c>
      <c r="AH35" s="18">
        <v>-498274.01</v>
      </c>
      <c r="AI35" s="18">
        <v>-572614.64</v>
      </c>
      <c r="AJ35" s="18">
        <v>-662943.18999999994</v>
      </c>
    </row>
    <row r="36" spans="1:36" x14ac:dyDescent="0.2">
      <c r="A36" t="s">
        <v>599</v>
      </c>
      <c r="B36" t="s">
        <v>600</v>
      </c>
      <c r="C36" s="18">
        <v>0</v>
      </c>
      <c r="D36" s="18">
        <v>3112.93</v>
      </c>
      <c r="E36" s="18">
        <v>7845.82</v>
      </c>
      <c r="F36" s="18">
        <v>12302.02</v>
      </c>
      <c r="G36" s="18">
        <v>17671</v>
      </c>
      <c r="H36" s="18">
        <v>22885.14</v>
      </c>
      <c r="I36" s="18">
        <v>26616.07</v>
      </c>
      <c r="J36" s="18">
        <v>30535.38</v>
      </c>
      <c r="K36" s="18">
        <v>37585.9</v>
      </c>
      <c r="L36" s="18">
        <v>43904.33</v>
      </c>
      <c r="M36" s="18">
        <v>48563.42</v>
      </c>
      <c r="N36" s="18">
        <v>54411.68</v>
      </c>
      <c r="O36" s="18">
        <v>0</v>
      </c>
      <c r="P36" s="18">
        <v>7003.99</v>
      </c>
      <c r="Q36" s="18">
        <v>12732.48</v>
      </c>
      <c r="R36" s="18">
        <v>16554.830000000002</v>
      </c>
      <c r="S36" s="18">
        <v>23580.09</v>
      </c>
      <c r="T36" s="18">
        <v>28604.67</v>
      </c>
      <c r="U36" s="18">
        <v>35314.370000000003</v>
      </c>
      <c r="V36" s="18">
        <v>44703.13</v>
      </c>
      <c r="W36" s="18">
        <v>52824.75</v>
      </c>
      <c r="X36" s="18">
        <v>58829.96</v>
      </c>
      <c r="Y36" s="18">
        <v>64030.71</v>
      </c>
      <c r="Z36" s="18">
        <v>69868.460000000006</v>
      </c>
      <c r="AA36" s="18">
        <v>0</v>
      </c>
      <c r="AB36" s="18">
        <v>15377.53</v>
      </c>
      <c r="AC36" s="18">
        <v>26323.24</v>
      </c>
      <c r="AD36" s="18">
        <v>33449.51</v>
      </c>
      <c r="AE36" s="18">
        <v>43751.96</v>
      </c>
      <c r="AF36" s="18">
        <v>51738.23</v>
      </c>
      <c r="AG36" s="18">
        <v>60751.75</v>
      </c>
      <c r="AH36" s="18">
        <v>69370.48</v>
      </c>
      <c r="AI36" s="18">
        <v>79076.710000000006</v>
      </c>
      <c r="AJ36" s="18">
        <v>87927.8</v>
      </c>
    </row>
    <row r="37" spans="1:36" x14ac:dyDescent="0.2">
      <c r="A37" t="s">
        <v>601</v>
      </c>
      <c r="B37" t="s">
        <v>602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-2133.3000000000002</v>
      </c>
      <c r="U37" s="18">
        <v>-6918.08</v>
      </c>
      <c r="V37" s="18">
        <v>-25207.16</v>
      </c>
      <c r="W37" s="18">
        <v>-43946.02</v>
      </c>
      <c r="X37" s="18">
        <v>-45938.9</v>
      </c>
      <c r="Y37" s="18">
        <v>-78680.61</v>
      </c>
      <c r="Z37" s="18">
        <v>-101491.83</v>
      </c>
      <c r="AA37" s="18">
        <v>0</v>
      </c>
      <c r="AB37" s="18">
        <v>-25250.9</v>
      </c>
      <c r="AC37" s="18">
        <v>-60363.62</v>
      </c>
      <c r="AD37" s="18">
        <v>-94323.42</v>
      </c>
      <c r="AE37" s="18">
        <v>-178945.8</v>
      </c>
      <c r="AF37" s="18">
        <v>-215817.24</v>
      </c>
      <c r="AG37" s="18">
        <v>-261502.38</v>
      </c>
      <c r="AH37" s="18">
        <v>-297181.76</v>
      </c>
      <c r="AI37" s="18">
        <v>-366287.21</v>
      </c>
      <c r="AJ37" s="18">
        <v>-390840.42</v>
      </c>
    </row>
    <row r="38" spans="1:36" x14ac:dyDescent="0.2">
      <c r="A38" t="s">
        <v>603</v>
      </c>
      <c r="B38" t="s">
        <v>518</v>
      </c>
      <c r="C38" s="18">
        <v>0</v>
      </c>
      <c r="D38" s="18">
        <v>184665.84</v>
      </c>
      <c r="E38" s="18">
        <v>377961.75</v>
      </c>
      <c r="F38" s="18">
        <v>567140.26</v>
      </c>
      <c r="G38" s="18">
        <v>759280.47</v>
      </c>
      <c r="H38" s="18">
        <v>968864.19</v>
      </c>
      <c r="I38" s="18">
        <v>1144533.5900000001</v>
      </c>
      <c r="J38" s="18">
        <v>1330842.3400000001</v>
      </c>
      <c r="K38" s="18">
        <v>1529079.62</v>
      </c>
      <c r="L38" s="18">
        <v>1723795.5</v>
      </c>
      <c r="M38" s="18">
        <v>1924358.37</v>
      </c>
      <c r="N38" s="18">
        <v>2110805.77</v>
      </c>
      <c r="O38" s="18">
        <v>0</v>
      </c>
      <c r="P38" s="18">
        <v>217523.26</v>
      </c>
      <c r="Q38" s="18">
        <v>407122.02</v>
      </c>
      <c r="R38" s="18">
        <v>621056.56000000006</v>
      </c>
      <c r="S38" s="18">
        <v>821536.75</v>
      </c>
      <c r="T38" s="18">
        <v>1084022.1200000001</v>
      </c>
      <c r="U38" s="18">
        <v>1330170.6299999999</v>
      </c>
      <c r="V38" s="18">
        <v>1604703.75</v>
      </c>
      <c r="W38" s="18">
        <v>1881299.62</v>
      </c>
      <c r="X38" s="18">
        <v>2147237.5099999998</v>
      </c>
      <c r="Y38" s="18">
        <v>2422193.37</v>
      </c>
      <c r="Z38" s="18">
        <v>2648827.3199999998</v>
      </c>
      <c r="AA38" s="18">
        <v>0</v>
      </c>
      <c r="AB38" s="18">
        <v>305536.52</v>
      </c>
      <c r="AC38" s="18">
        <v>569650.15</v>
      </c>
      <c r="AD38" s="18">
        <v>864972.65</v>
      </c>
      <c r="AE38" s="18">
        <v>1146122.0900000001</v>
      </c>
      <c r="AF38" s="18">
        <v>1403662.33</v>
      </c>
      <c r="AG38" s="18">
        <v>1697746.07</v>
      </c>
      <c r="AH38" s="18">
        <v>1999414.66</v>
      </c>
      <c r="AI38" s="18">
        <v>2292122.89</v>
      </c>
      <c r="AJ38" s="18">
        <v>2578143.44</v>
      </c>
    </row>
    <row r="39" spans="1:36" x14ac:dyDescent="0.2">
      <c r="A39" t="s">
        <v>604</v>
      </c>
      <c r="B39" t="s">
        <v>605</v>
      </c>
      <c r="C39" s="18">
        <v>0</v>
      </c>
      <c r="D39" s="18">
        <v>293335.48</v>
      </c>
      <c r="E39" s="18">
        <v>626537.39</v>
      </c>
      <c r="F39" s="18">
        <v>922502.26</v>
      </c>
      <c r="G39" s="18">
        <v>1296436.1299999999</v>
      </c>
      <c r="H39" s="18">
        <v>1689310.33</v>
      </c>
      <c r="I39" s="18">
        <v>1921786.8</v>
      </c>
      <c r="J39" s="18">
        <v>2131456.34</v>
      </c>
      <c r="K39" s="18">
        <v>2359774.5499999998</v>
      </c>
      <c r="L39" s="18">
        <v>2686978.15</v>
      </c>
      <c r="M39" s="18">
        <v>3068105.85</v>
      </c>
      <c r="N39" s="18">
        <v>3441530.9</v>
      </c>
      <c r="O39" s="18">
        <v>0</v>
      </c>
      <c r="P39" s="18">
        <v>334414.74</v>
      </c>
      <c r="Q39" s="18">
        <v>648718.62</v>
      </c>
      <c r="R39" s="18">
        <v>981851.37</v>
      </c>
      <c r="S39" s="18">
        <v>1287179.52</v>
      </c>
      <c r="T39" s="18">
        <v>1708570.01</v>
      </c>
      <c r="U39" s="18">
        <v>2022137.04</v>
      </c>
      <c r="V39" s="18">
        <v>2362643.58</v>
      </c>
      <c r="W39" s="18">
        <v>2768195.44</v>
      </c>
      <c r="X39" s="18">
        <v>3095130.22</v>
      </c>
      <c r="Y39" s="18">
        <v>3522102.5</v>
      </c>
      <c r="Z39" s="18">
        <v>3956961.56</v>
      </c>
      <c r="AA39" s="18">
        <v>0</v>
      </c>
      <c r="AB39" s="18">
        <v>560347.42000000004</v>
      </c>
      <c r="AC39" s="18">
        <v>977271.28</v>
      </c>
      <c r="AD39" s="18">
        <v>1393679.78</v>
      </c>
      <c r="AE39" s="18">
        <v>1875707.43</v>
      </c>
      <c r="AF39" s="18">
        <v>2343072.39</v>
      </c>
      <c r="AG39" s="18">
        <v>2730483.31</v>
      </c>
      <c r="AH39" s="18">
        <v>3100685.66</v>
      </c>
      <c r="AI39" s="18">
        <v>3522924.67</v>
      </c>
      <c r="AJ39" s="18">
        <v>3900168.65</v>
      </c>
    </row>
    <row r="40" spans="1:36" x14ac:dyDescent="0.2">
      <c r="A40" t="s">
        <v>606</v>
      </c>
      <c r="B40" t="s">
        <v>607</v>
      </c>
      <c r="C40" s="18">
        <v>0</v>
      </c>
      <c r="D40" s="18">
        <v>19001.18</v>
      </c>
      <c r="E40" s="18">
        <v>44233.17</v>
      </c>
      <c r="F40" s="18">
        <v>66111.14</v>
      </c>
      <c r="G40" s="18">
        <v>89165.58</v>
      </c>
      <c r="H40" s="18">
        <v>112889.17</v>
      </c>
      <c r="I40" s="18">
        <v>127204.3</v>
      </c>
      <c r="J40" s="18">
        <v>142697.93</v>
      </c>
      <c r="K40" s="18">
        <v>160045.26</v>
      </c>
      <c r="L40" s="18">
        <v>184308.45</v>
      </c>
      <c r="M40" s="18">
        <v>204445.16</v>
      </c>
      <c r="N40" s="18">
        <v>225718.46</v>
      </c>
      <c r="O40" s="18">
        <v>0</v>
      </c>
      <c r="P40" s="18">
        <v>27463.93</v>
      </c>
      <c r="Q40" s="18">
        <v>50531.23</v>
      </c>
      <c r="R40" s="18">
        <v>74483.320000000007</v>
      </c>
      <c r="S40" s="18">
        <v>93752.66</v>
      </c>
      <c r="T40" s="18">
        <v>119143.36</v>
      </c>
      <c r="U40" s="18">
        <v>141885.68</v>
      </c>
      <c r="V40" s="18">
        <v>167520.87</v>
      </c>
      <c r="W40" s="18">
        <v>198128.59</v>
      </c>
      <c r="X40" s="18">
        <v>226457.31</v>
      </c>
      <c r="Y40" s="18">
        <v>253878.63</v>
      </c>
      <c r="Z40" s="18">
        <v>274783.64</v>
      </c>
      <c r="AA40" s="18">
        <v>0</v>
      </c>
      <c r="AB40" s="18">
        <v>40205.08</v>
      </c>
      <c r="AC40" s="18">
        <v>72195.009999999995</v>
      </c>
      <c r="AD40" s="18">
        <v>106490.57</v>
      </c>
      <c r="AE40" s="18">
        <v>141573.06</v>
      </c>
      <c r="AF40" s="18">
        <v>167243.75</v>
      </c>
      <c r="AG40" s="18">
        <v>197395.34</v>
      </c>
      <c r="AH40" s="18">
        <v>228069.09</v>
      </c>
      <c r="AI40" s="18">
        <v>260140.13</v>
      </c>
      <c r="AJ40" s="18">
        <v>290272.92</v>
      </c>
    </row>
    <row r="41" spans="1:36" x14ac:dyDescent="0.2">
      <c r="A41" t="s">
        <v>608</v>
      </c>
      <c r="B41" t="s">
        <v>609</v>
      </c>
      <c r="C41" s="18">
        <v>0</v>
      </c>
      <c r="D41" s="18">
        <v>10636.54</v>
      </c>
      <c r="E41" s="18">
        <v>25072.58</v>
      </c>
      <c r="F41" s="18">
        <v>38110.550000000003</v>
      </c>
      <c r="G41" s="18">
        <v>55391.03</v>
      </c>
      <c r="H41" s="18">
        <v>64103.23</v>
      </c>
      <c r="I41" s="18">
        <v>74431.27</v>
      </c>
      <c r="J41" s="18">
        <v>80520.820000000007</v>
      </c>
      <c r="K41" s="18">
        <v>85596.9</v>
      </c>
      <c r="L41" s="18">
        <v>100593.97</v>
      </c>
      <c r="M41" s="18">
        <v>108873.14</v>
      </c>
      <c r="N41" s="18">
        <v>121803.35</v>
      </c>
      <c r="O41" s="18">
        <v>0</v>
      </c>
      <c r="P41" s="18">
        <v>11604.39</v>
      </c>
      <c r="Q41" s="18">
        <v>25106.18</v>
      </c>
      <c r="R41" s="18">
        <v>37091.050000000003</v>
      </c>
      <c r="S41" s="18">
        <v>46836.41</v>
      </c>
      <c r="T41" s="18">
        <v>66508.570000000007</v>
      </c>
      <c r="U41" s="18">
        <v>81824.009999999995</v>
      </c>
      <c r="V41" s="18">
        <v>92076.05</v>
      </c>
      <c r="W41" s="18">
        <v>103712.05</v>
      </c>
      <c r="X41" s="18">
        <v>118335.93</v>
      </c>
      <c r="Y41" s="18">
        <v>134636.63</v>
      </c>
      <c r="Z41" s="18">
        <v>148064.17000000001</v>
      </c>
      <c r="AA41" s="18">
        <v>0</v>
      </c>
      <c r="AB41" s="18">
        <v>22299.46</v>
      </c>
      <c r="AC41" s="18">
        <v>37459.14</v>
      </c>
      <c r="AD41" s="18">
        <v>48633.8</v>
      </c>
      <c r="AE41" s="18">
        <v>61505.47</v>
      </c>
      <c r="AF41" s="18">
        <v>77566.320000000007</v>
      </c>
      <c r="AG41" s="18">
        <v>89284.04</v>
      </c>
      <c r="AH41" s="18">
        <v>100753.78</v>
      </c>
      <c r="AI41" s="18">
        <v>112551.58</v>
      </c>
      <c r="AJ41" s="18">
        <v>130024.68</v>
      </c>
    </row>
    <row r="42" spans="1:36" x14ac:dyDescent="0.2">
      <c r="A42" t="s">
        <v>610</v>
      </c>
      <c r="B42" t="s">
        <v>246</v>
      </c>
      <c r="C42" s="18">
        <v>0</v>
      </c>
      <c r="D42" s="18">
        <v>522.03</v>
      </c>
      <c r="E42" s="18">
        <v>2445.38</v>
      </c>
      <c r="F42" s="18">
        <v>2962.35</v>
      </c>
      <c r="G42" s="18">
        <v>3429.02</v>
      </c>
      <c r="H42" s="18">
        <v>3957.62</v>
      </c>
      <c r="I42" s="18">
        <v>4002.19</v>
      </c>
      <c r="J42" s="18">
        <v>5207.41</v>
      </c>
      <c r="K42" s="18">
        <v>5890.49</v>
      </c>
      <c r="L42" s="18">
        <v>6778.17</v>
      </c>
      <c r="M42" s="18">
        <v>7168.89</v>
      </c>
      <c r="N42" s="18">
        <v>7168.89</v>
      </c>
      <c r="O42" s="18">
        <v>0</v>
      </c>
      <c r="P42" s="18">
        <v>792.55</v>
      </c>
      <c r="Q42" s="18">
        <v>860.15</v>
      </c>
      <c r="R42" s="18">
        <v>1593.92</v>
      </c>
      <c r="S42" s="18">
        <v>1849.66</v>
      </c>
      <c r="T42" s="18">
        <v>4012.67</v>
      </c>
      <c r="U42" s="18">
        <v>4012.67</v>
      </c>
      <c r="V42" s="18">
        <v>4031.09</v>
      </c>
      <c r="W42" s="18">
        <v>5459.34</v>
      </c>
      <c r="X42" s="18">
        <v>5740.05</v>
      </c>
      <c r="Y42" s="18">
        <v>6566.28</v>
      </c>
      <c r="Z42" s="18">
        <v>7070.6</v>
      </c>
      <c r="AA42" s="18">
        <v>0</v>
      </c>
      <c r="AB42" s="18">
        <v>1237.06</v>
      </c>
      <c r="AC42" s="18">
        <v>2520.5500000000002</v>
      </c>
      <c r="AD42" s="18">
        <v>3036.96</v>
      </c>
      <c r="AE42" s="18">
        <v>3598.95</v>
      </c>
      <c r="AF42" s="18">
        <v>3938.23</v>
      </c>
      <c r="AG42" s="18">
        <v>4196.41</v>
      </c>
      <c r="AH42" s="18">
        <v>6079.67</v>
      </c>
      <c r="AI42" s="18">
        <v>8895.18</v>
      </c>
      <c r="AJ42" s="18">
        <v>10626.95</v>
      </c>
    </row>
    <row r="43" spans="1:36" x14ac:dyDescent="0.2">
      <c r="A43" t="s">
        <v>611</v>
      </c>
      <c r="B43" t="s">
        <v>612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2133.3000000000002</v>
      </c>
      <c r="U43" s="18">
        <v>6918.08</v>
      </c>
      <c r="V43" s="18">
        <v>25207.16</v>
      </c>
      <c r="W43" s="18">
        <v>43946.02</v>
      </c>
      <c r="X43" s="18">
        <v>45938.9</v>
      </c>
      <c r="Y43" s="18">
        <v>78680.61</v>
      </c>
      <c r="Z43" s="18">
        <v>101491.83</v>
      </c>
      <c r="AA43" s="18">
        <v>0</v>
      </c>
      <c r="AB43" s="18">
        <v>25250.9</v>
      </c>
      <c r="AC43" s="18">
        <v>60363.62</v>
      </c>
      <c r="AD43" s="18">
        <v>94323.42</v>
      </c>
      <c r="AE43" s="18">
        <v>178945.8</v>
      </c>
      <c r="AF43" s="18">
        <v>215817.24</v>
      </c>
      <c r="AG43" s="18">
        <v>261502.38</v>
      </c>
      <c r="AH43" s="18">
        <v>297181.76</v>
      </c>
      <c r="AI43" s="18">
        <v>366287.21</v>
      </c>
      <c r="AJ43" s="18">
        <v>390840.42</v>
      </c>
    </row>
    <row r="44" spans="1:36" x14ac:dyDescent="0.2">
      <c r="A44" t="s">
        <v>613</v>
      </c>
      <c r="B44" t="s">
        <v>519</v>
      </c>
      <c r="C44" s="18">
        <v>0</v>
      </c>
      <c r="D44" s="18">
        <v>0</v>
      </c>
      <c r="E44" s="18">
        <v>0</v>
      </c>
      <c r="F44" s="18">
        <v>298.10000000000002</v>
      </c>
      <c r="G44" s="18">
        <v>298.10000000000002</v>
      </c>
      <c r="H44" s="18">
        <v>298.10000000000002</v>
      </c>
      <c r="I44" s="18">
        <v>280.35000000000002</v>
      </c>
      <c r="J44" s="18">
        <v>280.35000000000002</v>
      </c>
      <c r="K44" s="18">
        <v>280.35000000000002</v>
      </c>
      <c r="L44" s="18">
        <v>583.69000000000005</v>
      </c>
      <c r="M44" s="18">
        <v>583.69000000000005</v>
      </c>
      <c r="N44" s="18">
        <v>583.69000000000005</v>
      </c>
      <c r="O44" s="18">
        <v>0</v>
      </c>
      <c r="P44" s="18">
        <v>0</v>
      </c>
      <c r="Q44" s="18">
        <v>0</v>
      </c>
      <c r="R44" s="18">
        <v>87.29</v>
      </c>
      <c r="S44" s="18">
        <v>87.29</v>
      </c>
      <c r="T44" s="18">
        <v>87.29</v>
      </c>
      <c r="U44" s="18">
        <v>311.06</v>
      </c>
      <c r="V44" s="18">
        <v>311.06</v>
      </c>
      <c r="W44" s="18">
        <v>311.06</v>
      </c>
      <c r="X44" s="18">
        <v>320.8</v>
      </c>
      <c r="Y44" s="18">
        <v>320.8</v>
      </c>
      <c r="Z44" s="18">
        <v>320.8</v>
      </c>
      <c r="AA44" s="18">
        <v>0</v>
      </c>
      <c r="AB44" s="18">
        <v>0</v>
      </c>
      <c r="AC44" s="18">
        <v>0</v>
      </c>
      <c r="AD44" s="18">
        <v>201.31</v>
      </c>
      <c r="AE44" s="18">
        <v>201.31</v>
      </c>
      <c r="AF44" s="18">
        <v>201.31</v>
      </c>
      <c r="AG44" s="18">
        <v>210.76</v>
      </c>
      <c r="AH44" s="18">
        <v>210.76</v>
      </c>
      <c r="AI44" s="18">
        <v>210.76</v>
      </c>
      <c r="AJ44" s="18">
        <v>376.27</v>
      </c>
    </row>
    <row r="45" spans="1:36" x14ac:dyDescent="0.2">
      <c r="A45" t="s">
        <v>614</v>
      </c>
      <c r="B45" t="s">
        <v>615</v>
      </c>
      <c r="C45" s="18">
        <v>0</v>
      </c>
      <c r="D45" s="18">
        <v>68365</v>
      </c>
      <c r="E45" s="18">
        <v>136730</v>
      </c>
      <c r="F45" s="18">
        <v>205095</v>
      </c>
      <c r="G45" s="18">
        <v>273460</v>
      </c>
      <c r="H45" s="18">
        <v>341825</v>
      </c>
      <c r="I45" s="18">
        <v>410190</v>
      </c>
      <c r="J45" s="18">
        <v>478555</v>
      </c>
      <c r="K45" s="18">
        <v>546920</v>
      </c>
      <c r="L45" s="18">
        <v>615285</v>
      </c>
      <c r="M45" s="18">
        <v>683650</v>
      </c>
      <c r="N45" s="18">
        <v>752015</v>
      </c>
      <c r="O45" s="18">
        <v>0</v>
      </c>
      <c r="P45" s="18">
        <v>70415.95</v>
      </c>
      <c r="Q45" s="18">
        <v>140831.9</v>
      </c>
      <c r="R45" s="18">
        <v>211247.85</v>
      </c>
      <c r="S45" s="18">
        <v>309015.45</v>
      </c>
      <c r="T45" s="18">
        <v>406783.05</v>
      </c>
      <c r="U45" s="18">
        <v>504550.65</v>
      </c>
      <c r="V45" s="18">
        <v>602318.25</v>
      </c>
      <c r="W45" s="18">
        <v>700085.85</v>
      </c>
      <c r="X45" s="18">
        <v>797853.45</v>
      </c>
      <c r="Y45" s="18">
        <v>895621.05</v>
      </c>
      <c r="Z45" s="18">
        <v>993388.65</v>
      </c>
      <c r="AA45" s="18">
        <v>0</v>
      </c>
      <c r="AB45" s="18">
        <v>100700.63</v>
      </c>
      <c r="AC45" s="18">
        <v>201401.26</v>
      </c>
      <c r="AD45" s="18">
        <v>302101.89</v>
      </c>
      <c r="AE45" s="18">
        <v>402802.52</v>
      </c>
      <c r="AF45" s="18">
        <v>503503.15</v>
      </c>
      <c r="AG45" s="18">
        <v>604203.78</v>
      </c>
      <c r="AH45" s="18">
        <v>704904.41</v>
      </c>
      <c r="AI45" s="18">
        <v>805605.04</v>
      </c>
      <c r="AJ45" s="18">
        <v>906305.67</v>
      </c>
    </row>
    <row r="46" spans="1:36" x14ac:dyDescent="0.2">
      <c r="A46" t="s">
        <v>616</v>
      </c>
      <c r="B46" t="s">
        <v>617</v>
      </c>
      <c r="C46" s="18">
        <v>0</v>
      </c>
      <c r="D46" s="18">
        <v>32205</v>
      </c>
      <c r="E46" s="18">
        <v>64410</v>
      </c>
      <c r="F46" s="18">
        <v>96615</v>
      </c>
      <c r="G46" s="18">
        <v>128820</v>
      </c>
      <c r="H46" s="18">
        <v>161025</v>
      </c>
      <c r="I46" s="18">
        <v>193230</v>
      </c>
      <c r="J46" s="18">
        <v>225435</v>
      </c>
      <c r="K46" s="18">
        <v>257640</v>
      </c>
      <c r="L46" s="18">
        <v>289845</v>
      </c>
      <c r="M46" s="18">
        <v>322050</v>
      </c>
      <c r="N46" s="18">
        <v>354255</v>
      </c>
      <c r="O46" s="18">
        <v>0</v>
      </c>
      <c r="P46" s="18">
        <v>39339.82</v>
      </c>
      <c r="Q46" s="18">
        <v>78679.64</v>
      </c>
      <c r="R46" s="18">
        <v>118019.46</v>
      </c>
      <c r="S46" s="18">
        <v>157359.28</v>
      </c>
      <c r="T46" s="18">
        <v>196699.1</v>
      </c>
      <c r="U46" s="18">
        <v>236038.92</v>
      </c>
      <c r="V46" s="18">
        <v>275378.74</v>
      </c>
      <c r="W46" s="18">
        <v>314718.56</v>
      </c>
      <c r="X46" s="18">
        <v>354058.38</v>
      </c>
      <c r="Y46" s="18">
        <v>393398.2</v>
      </c>
      <c r="Z46" s="18">
        <v>432738.02</v>
      </c>
      <c r="AA46" s="18">
        <v>0</v>
      </c>
      <c r="AB46" s="18">
        <v>40520.01</v>
      </c>
      <c r="AC46" s="18">
        <v>81040.02</v>
      </c>
      <c r="AD46" s="18">
        <v>121560.03</v>
      </c>
      <c r="AE46" s="18">
        <v>162080.04</v>
      </c>
      <c r="AF46" s="18">
        <v>202600.05</v>
      </c>
      <c r="AG46" s="18">
        <v>243120.06</v>
      </c>
      <c r="AH46" s="18">
        <v>283640.07</v>
      </c>
      <c r="AI46" s="18">
        <v>324160.08</v>
      </c>
      <c r="AJ46" s="18">
        <v>364680.09</v>
      </c>
    </row>
    <row r="47" spans="1:36" x14ac:dyDescent="0.2">
      <c r="A47" t="s">
        <v>618</v>
      </c>
      <c r="B47" t="s">
        <v>619</v>
      </c>
      <c r="C47" s="18">
        <v>0</v>
      </c>
      <c r="D47" s="18">
        <v>51000</v>
      </c>
      <c r="E47" s="18">
        <v>102000</v>
      </c>
      <c r="F47" s="18">
        <v>153000</v>
      </c>
      <c r="G47" s="18">
        <v>204000</v>
      </c>
      <c r="H47" s="18">
        <v>255000</v>
      </c>
      <c r="I47" s="18">
        <v>306000</v>
      </c>
      <c r="J47" s="18">
        <v>357000</v>
      </c>
      <c r="K47" s="18">
        <v>408000</v>
      </c>
      <c r="L47" s="18">
        <v>459000</v>
      </c>
      <c r="M47" s="18">
        <v>510000</v>
      </c>
      <c r="N47" s="18">
        <v>561000</v>
      </c>
      <c r="O47" s="18">
        <v>0</v>
      </c>
      <c r="P47" s="18">
        <v>52530</v>
      </c>
      <c r="Q47" s="18">
        <v>124115</v>
      </c>
      <c r="R47" s="18">
        <v>195700</v>
      </c>
      <c r="S47" s="18">
        <v>267285</v>
      </c>
      <c r="T47" s="18">
        <v>338870</v>
      </c>
      <c r="U47" s="18">
        <v>410455</v>
      </c>
      <c r="V47" s="18">
        <v>482040</v>
      </c>
      <c r="W47" s="18">
        <v>553625</v>
      </c>
      <c r="X47" s="18">
        <v>625210</v>
      </c>
      <c r="Y47" s="18">
        <v>696795</v>
      </c>
      <c r="Z47" s="18">
        <v>768380</v>
      </c>
      <c r="AA47" s="18">
        <v>0</v>
      </c>
      <c r="AB47" s="18">
        <v>73732.55</v>
      </c>
      <c r="AC47" s="18">
        <v>147465.1</v>
      </c>
      <c r="AD47" s="18">
        <v>221197.65</v>
      </c>
      <c r="AE47" s="18">
        <v>294930.2</v>
      </c>
      <c r="AF47" s="18">
        <v>368662.75</v>
      </c>
      <c r="AG47" s="18">
        <v>442395.3</v>
      </c>
      <c r="AH47" s="18">
        <v>516127.85</v>
      </c>
      <c r="AI47" s="18">
        <v>589860.4</v>
      </c>
      <c r="AJ47" s="18">
        <v>663592.94999999995</v>
      </c>
    </row>
    <row r="48" spans="1:36" x14ac:dyDescent="0.2">
      <c r="A48" t="s">
        <v>620</v>
      </c>
      <c r="B48" t="s">
        <v>621</v>
      </c>
      <c r="C48" s="18">
        <v>0</v>
      </c>
      <c r="D48" s="18">
        <v>11800</v>
      </c>
      <c r="E48" s="18">
        <v>23600</v>
      </c>
      <c r="F48" s="18">
        <v>35400</v>
      </c>
      <c r="G48" s="18">
        <v>47200</v>
      </c>
      <c r="H48" s="18">
        <v>59000</v>
      </c>
      <c r="I48" s="18">
        <v>70800</v>
      </c>
      <c r="J48" s="18">
        <v>82600</v>
      </c>
      <c r="K48" s="18">
        <v>94400</v>
      </c>
      <c r="L48" s="18">
        <v>106200</v>
      </c>
      <c r="M48" s="18">
        <v>118000</v>
      </c>
      <c r="N48" s="18">
        <v>129800</v>
      </c>
      <c r="O48" s="18">
        <v>0</v>
      </c>
      <c r="P48" s="18">
        <v>12154</v>
      </c>
      <c r="Q48" s="18">
        <v>29046</v>
      </c>
      <c r="R48" s="18">
        <v>45938</v>
      </c>
      <c r="S48" s="18">
        <v>62830</v>
      </c>
      <c r="T48" s="18">
        <v>79722</v>
      </c>
      <c r="U48" s="18">
        <v>96614</v>
      </c>
      <c r="V48" s="18">
        <v>113506</v>
      </c>
      <c r="W48" s="18">
        <v>130398</v>
      </c>
      <c r="X48" s="18">
        <v>147290</v>
      </c>
      <c r="Y48" s="18">
        <v>164182</v>
      </c>
      <c r="Z48" s="18">
        <v>181074</v>
      </c>
      <c r="AA48" s="18">
        <v>0</v>
      </c>
      <c r="AB48" s="18">
        <v>17398.759999999998</v>
      </c>
      <c r="AC48" s="18">
        <v>34797.519999999997</v>
      </c>
      <c r="AD48" s="18">
        <v>52196.28</v>
      </c>
      <c r="AE48" s="18">
        <v>69595.039999999994</v>
      </c>
      <c r="AF48" s="18">
        <v>86993.8</v>
      </c>
      <c r="AG48" s="18">
        <v>104392.56</v>
      </c>
      <c r="AH48" s="18">
        <v>121791.32</v>
      </c>
      <c r="AI48" s="18">
        <v>139190.07999999999</v>
      </c>
      <c r="AJ48" s="18">
        <v>156588.84</v>
      </c>
    </row>
    <row r="49" spans="1:36" x14ac:dyDescent="0.2">
      <c r="A49" t="s">
        <v>622</v>
      </c>
      <c r="B49" t="s">
        <v>623</v>
      </c>
      <c r="C49" s="18">
        <v>0</v>
      </c>
      <c r="D49" s="18">
        <v>10043.66</v>
      </c>
      <c r="E49" s="18">
        <v>20678.830000000002</v>
      </c>
      <c r="F49" s="18">
        <v>31583.200000000001</v>
      </c>
      <c r="G49" s="18">
        <v>37831.050000000003</v>
      </c>
      <c r="H49" s="18">
        <v>43976.99</v>
      </c>
      <c r="I49" s="18">
        <v>49915.91</v>
      </c>
      <c r="J49" s="18">
        <v>55943.63</v>
      </c>
      <c r="K49" s="18">
        <v>62353.440000000002</v>
      </c>
      <c r="L49" s="18">
        <v>68662.83</v>
      </c>
      <c r="M49" s="18">
        <v>74725.2</v>
      </c>
      <c r="N49" s="18">
        <v>84691.85</v>
      </c>
      <c r="O49" s="18">
        <v>0</v>
      </c>
      <c r="P49" s="18">
        <v>11377.55</v>
      </c>
      <c r="Q49" s="18">
        <v>23322.07</v>
      </c>
      <c r="R49" s="18">
        <v>35921.57</v>
      </c>
      <c r="S49" s="18">
        <v>43341.03</v>
      </c>
      <c r="T49" s="18">
        <v>51879.34</v>
      </c>
      <c r="U49" s="18">
        <v>60095.14</v>
      </c>
      <c r="V49" s="18">
        <v>68479.56</v>
      </c>
      <c r="W49" s="18">
        <v>77385.67</v>
      </c>
      <c r="X49" s="18">
        <v>85846.56</v>
      </c>
      <c r="Y49" s="18">
        <v>94208.81</v>
      </c>
      <c r="Z49" s="18">
        <v>107707.18</v>
      </c>
      <c r="AA49" s="18">
        <v>0</v>
      </c>
      <c r="AB49" s="18">
        <v>14689.11</v>
      </c>
      <c r="AC49" s="18">
        <v>28732.23</v>
      </c>
      <c r="AD49" s="18">
        <v>43253.01</v>
      </c>
      <c r="AE49" s="18">
        <v>51552.04</v>
      </c>
      <c r="AF49" s="18">
        <v>60033.7</v>
      </c>
      <c r="AG49" s="18">
        <v>68652.72</v>
      </c>
      <c r="AH49" s="18">
        <v>77231.64</v>
      </c>
      <c r="AI49" s="18">
        <v>85687.76</v>
      </c>
      <c r="AJ49" s="18">
        <v>94274.34</v>
      </c>
    </row>
    <row r="50" spans="1:36" x14ac:dyDescent="0.2">
      <c r="A50" t="s">
        <v>624</v>
      </c>
      <c r="B50" t="s">
        <v>258</v>
      </c>
      <c r="C50" s="18">
        <v>0</v>
      </c>
      <c r="D50" s="18">
        <v>10139.31</v>
      </c>
      <c r="E50" s="18">
        <v>19080.09</v>
      </c>
      <c r="F50" s="18">
        <v>28052.54</v>
      </c>
      <c r="G50" s="18">
        <v>38333.879999999997</v>
      </c>
      <c r="H50" s="18">
        <v>47354.82</v>
      </c>
      <c r="I50" s="18">
        <v>56979.42</v>
      </c>
      <c r="J50" s="18">
        <v>66470.09</v>
      </c>
      <c r="K50" s="18">
        <v>76404.929999999993</v>
      </c>
      <c r="L50" s="18">
        <v>85623.76</v>
      </c>
      <c r="M50" s="18">
        <v>94310.91</v>
      </c>
      <c r="N50" s="18">
        <v>104173.47</v>
      </c>
      <c r="O50" s="18">
        <v>0</v>
      </c>
      <c r="P50" s="18">
        <v>9283.52</v>
      </c>
      <c r="Q50" s="18">
        <v>19154.72</v>
      </c>
      <c r="R50" s="18">
        <v>29893.94</v>
      </c>
      <c r="S50" s="18">
        <v>68760.259999999995</v>
      </c>
      <c r="T50" s="18">
        <v>101265.2</v>
      </c>
      <c r="U50" s="18">
        <v>111421.01</v>
      </c>
      <c r="V50" s="18">
        <v>122097.65</v>
      </c>
      <c r="W50" s="18">
        <v>132344.45000000001</v>
      </c>
      <c r="X50" s="18">
        <v>142392.73000000001</v>
      </c>
      <c r="Y50" s="18">
        <v>152929.31</v>
      </c>
      <c r="Z50" s="18">
        <v>163355.32999999999</v>
      </c>
      <c r="AA50" s="18">
        <v>0</v>
      </c>
      <c r="AB50" s="18">
        <v>9467.2800000000007</v>
      </c>
      <c r="AC50" s="18">
        <v>19799.830000000002</v>
      </c>
      <c r="AD50" s="18">
        <v>28995.040000000001</v>
      </c>
      <c r="AE50" s="18">
        <v>38277.56</v>
      </c>
      <c r="AF50" s="18">
        <v>47909.64</v>
      </c>
      <c r="AG50" s="18">
        <v>58844.75</v>
      </c>
      <c r="AH50" s="18">
        <v>69369.59</v>
      </c>
      <c r="AI50" s="18">
        <v>78894.42</v>
      </c>
      <c r="AJ50" s="18">
        <v>88297.07</v>
      </c>
    </row>
    <row r="51" spans="1:36" x14ac:dyDescent="0.2">
      <c r="A51" t="s">
        <v>625</v>
      </c>
      <c r="B51" t="s">
        <v>626</v>
      </c>
      <c r="C51" s="18">
        <v>0</v>
      </c>
      <c r="D51" s="18">
        <v>7400</v>
      </c>
      <c r="E51" s="18">
        <v>14800</v>
      </c>
      <c r="F51" s="18">
        <v>22200</v>
      </c>
      <c r="G51" s="18">
        <v>29600</v>
      </c>
      <c r="H51" s="18">
        <v>37000</v>
      </c>
      <c r="I51" s="18">
        <v>44400</v>
      </c>
      <c r="J51" s="18">
        <v>51800</v>
      </c>
      <c r="K51" s="18">
        <v>59200</v>
      </c>
      <c r="L51" s="18">
        <v>66600</v>
      </c>
      <c r="M51" s="18">
        <v>74000</v>
      </c>
      <c r="N51" s="18">
        <v>81400</v>
      </c>
      <c r="O51" s="18">
        <v>0</v>
      </c>
      <c r="P51" s="18">
        <v>7622</v>
      </c>
      <c r="Q51" s="18">
        <v>15244</v>
      </c>
      <c r="R51" s="18">
        <v>22866</v>
      </c>
      <c r="S51" s="18">
        <v>30488</v>
      </c>
      <c r="T51" s="18">
        <v>39253.300000000003</v>
      </c>
      <c r="U51" s="18">
        <v>48018.6</v>
      </c>
      <c r="V51" s="18">
        <v>56783.9</v>
      </c>
      <c r="W51" s="18">
        <v>65549.2</v>
      </c>
      <c r="X51" s="18">
        <v>74314.5</v>
      </c>
      <c r="Y51" s="18">
        <v>83079.8</v>
      </c>
      <c r="Z51" s="18">
        <v>91845.1</v>
      </c>
      <c r="AA51" s="18">
        <v>0</v>
      </c>
      <c r="AB51" s="18">
        <v>9028.26</v>
      </c>
      <c r="AC51" s="18">
        <v>18056.52</v>
      </c>
      <c r="AD51" s="18">
        <v>27084.78</v>
      </c>
      <c r="AE51" s="18">
        <v>36113.040000000001</v>
      </c>
      <c r="AF51" s="18">
        <v>45141.3</v>
      </c>
      <c r="AG51" s="18">
        <v>54169.56</v>
      </c>
      <c r="AH51" s="18">
        <v>63197.82</v>
      </c>
      <c r="AI51" s="18">
        <v>72226.080000000002</v>
      </c>
      <c r="AJ51" s="18">
        <v>81254.34</v>
      </c>
    </row>
    <row r="52" spans="1:36" x14ac:dyDescent="0.2">
      <c r="A52" t="s">
        <v>627</v>
      </c>
      <c r="B52" t="s">
        <v>628</v>
      </c>
      <c r="C52" s="18">
        <v>0</v>
      </c>
      <c r="D52" s="18">
        <v>3352.59</v>
      </c>
      <c r="E52" s="18">
        <v>7798.71</v>
      </c>
      <c r="F52" s="18">
        <v>11578.26</v>
      </c>
      <c r="G52" s="18">
        <v>14900.72</v>
      </c>
      <c r="H52" s="18">
        <v>18446.07</v>
      </c>
      <c r="I52" s="18">
        <v>22196.95</v>
      </c>
      <c r="J52" s="18">
        <v>25430.32</v>
      </c>
      <c r="K52" s="18">
        <v>29096.33</v>
      </c>
      <c r="L52" s="18">
        <v>33510.46</v>
      </c>
      <c r="M52" s="18">
        <v>36916.410000000003</v>
      </c>
      <c r="N52" s="18">
        <v>41302.400000000001</v>
      </c>
      <c r="O52" s="18">
        <v>0</v>
      </c>
      <c r="P52" s="18">
        <v>4624.16</v>
      </c>
      <c r="Q52" s="18">
        <v>9148</v>
      </c>
      <c r="R52" s="18">
        <v>13069.43</v>
      </c>
      <c r="S52" s="18">
        <v>17015.53</v>
      </c>
      <c r="T52" s="18">
        <v>20765.11</v>
      </c>
      <c r="U52" s="18">
        <v>25094.22</v>
      </c>
      <c r="V52" s="18">
        <v>29478.799999999999</v>
      </c>
      <c r="W52" s="18">
        <v>33856.53</v>
      </c>
      <c r="X52" s="18">
        <v>37774.39</v>
      </c>
      <c r="Y52" s="18">
        <v>42013.96</v>
      </c>
      <c r="Z52" s="18">
        <v>46382.95</v>
      </c>
      <c r="AA52" s="18">
        <v>0</v>
      </c>
      <c r="AB52" s="18">
        <v>3337.55</v>
      </c>
      <c r="AC52" s="18">
        <v>7141.16</v>
      </c>
      <c r="AD52" s="18">
        <v>11383.65</v>
      </c>
      <c r="AE52" s="18">
        <v>16116.42</v>
      </c>
      <c r="AF52" s="18">
        <v>20266.75</v>
      </c>
      <c r="AG52" s="18">
        <v>24639.46</v>
      </c>
      <c r="AH52" s="18">
        <v>28477.86</v>
      </c>
      <c r="AI52" s="18">
        <v>32988.85</v>
      </c>
      <c r="AJ52" s="18">
        <v>36534.629999999997</v>
      </c>
    </row>
    <row r="53" spans="1:36" x14ac:dyDescent="0.2">
      <c r="A53" t="s">
        <v>629</v>
      </c>
      <c r="B53" t="s">
        <v>630</v>
      </c>
      <c r="C53" s="18">
        <v>0</v>
      </c>
      <c r="D53" s="18">
        <v>5200</v>
      </c>
      <c r="E53" s="18">
        <v>10400</v>
      </c>
      <c r="F53" s="18">
        <v>15600</v>
      </c>
      <c r="G53" s="18">
        <v>20800</v>
      </c>
      <c r="H53" s="18">
        <v>26000</v>
      </c>
      <c r="I53" s="18">
        <v>31200</v>
      </c>
      <c r="J53" s="18">
        <v>36400</v>
      </c>
      <c r="K53" s="18">
        <v>41600</v>
      </c>
      <c r="L53" s="18">
        <v>46800</v>
      </c>
      <c r="M53" s="18">
        <v>52000</v>
      </c>
      <c r="N53" s="18">
        <v>57200</v>
      </c>
      <c r="O53" s="18">
        <v>0</v>
      </c>
      <c r="P53" s="18">
        <v>5356</v>
      </c>
      <c r="Q53" s="18">
        <v>11381.5</v>
      </c>
      <c r="R53" s="18">
        <v>17407</v>
      </c>
      <c r="S53" s="18">
        <v>23432.5</v>
      </c>
      <c r="T53" s="18">
        <v>30127.5</v>
      </c>
      <c r="U53" s="18">
        <v>36822.5</v>
      </c>
      <c r="V53" s="18">
        <v>43517.5</v>
      </c>
      <c r="W53" s="18">
        <v>50212.5</v>
      </c>
      <c r="X53" s="18">
        <v>56907.5</v>
      </c>
      <c r="Y53" s="18">
        <v>63602.5</v>
      </c>
      <c r="Z53" s="18">
        <v>70297.5</v>
      </c>
      <c r="AA53" s="18">
        <v>0</v>
      </c>
      <c r="AB53" s="18">
        <v>6895.85</v>
      </c>
      <c r="AC53" s="18">
        <v>13791.7</v>
      </c>
      <c r="AD53" s="18">
        <v>20687.55</v>
      </c>
      <c r="AE53" s="18">
        <v>27583.4</v>
      </c>
      <c r="AF53" s="18">
        <v>34479.25</v>
      </c>
      <c r="AG53" s="18">
        <v>41375.1</v>
      </c>
      <c r="AH53" s="18">
        <v>48270.95</v>
      </c>
      <c r="AI53" s="18">
        <v>55166.8</v>
      </c>
      <c r="AJ53" s="18">
        <v>62062.65</v>
      </c>
    </row>
    <row r="54" spans="1:36" x14ac:dyDescent="0.2">
      <c r="A54" t="s">
        <v>631</v>
      </c>
      <c r="B54" t="s">
        <v>632</v>
      </c>
      <c r="C54" s="18">
        <v>0</v>
      </c>
      <c r="D54" s="18">
        <v>5000</v>
      </c>
      <c r="E54" s="18">
        <v>10000</v>
      </c>
      <c r="F54" s="18">
        <v>15000</v>
      </c>
      <c r="G54" s="18">
        <v>20000</v>
      </c>
      <c r="H54" s="18">
        <v>25000</v>
      </c>
      <c r="I54" s="18">
        <v>30000</v>
      </c>
      <c r="J54" s="18">
        <v>35000</v>
      </c>
      <c r="K54" s="18">
        <v>40000</v>
      </c>
      <c r="L54" s="18">
        <v>45000</v>
      </c>
      <c r="M54" s="18">
        <v>50000</v>
      </c>
      <c r="N54" s="18">
        <v>55000</v>
      </c>
      <c r="O54" s="18">
        <v>0</v>
      </c>
      <c r="P54" s="18">
        <v>5150</v>
      </c>
      <c r="Q54" s="18">
        <v>10300</v>
      </c>
      <c r="R54" s="18">
        <v>15450</v>
      </c>
      <c r="S54" s="18">
        <v>20600</v>
      </c>
      <c r="T54" s="18">
        <v>27707</v>
      </c>
      <c r="U54" s="18">
        <v>34814</v>
      </c>
      <c r="V54" s="18">
        <v>41921</v>
      </c>
      <c r="W54" s="18">
        <v>49028</v>
      </c>
      <c r="X54" s="18">
        <v>56135</v>
      </c>
      <c r="Y54" s="18">
        <v>63242</v>
      </c>
      <c r="Z54" s="18">
        <v>70349</v>
      </c>
      <c r="AA54" s="18">
        <v>0</v>
      </c>
      <c r="AB54" s="18">
        <v>7320.21</v>
      </c>
      <c r="AC54" s="18">
        <v>14640.42</v>
      </c>
      <c r="AD54" s="18">
        <v>21960.63</v>
      </c>
      <c r="AE54" s="18">
        <v>29280.84</v>
      </c>
      <c r="AF54" s="18">
        <v>36601.050000000003</v>
      </c>
      <c r="AG54" s="18">
        <v>43921.26</v>
      </c>
      <c r="AH54" s="18">
        <v>51241.47</v>
      </c>
      <c r="AI54" s="18">
        <v>58561.68</v>
      </c>
      <c r="AJ54" s="18">
        <v>65881.89</v>
      </c>
    </row>
    <row r="55" spans="1:36" x14ac:dyDescent="0.2">
      <c r="A55" t="s">
        <v>633</v>
      </c>
      <c r="B55" t="s">
        <v>634</v>
      </c>
      <c r="C55" s="18">
        <v>0</v>
      </c>
      <c r="D55" s="18">
        <v>6500</v>
      </c>
      <c r="E55" s="18">
        <v>9100</v>
      </c>
      <c r="F55" s="18">
        <v>11700</v>
      </c>
      <c r="G55" s="18">
        <v>14300</v>
      </c>
      <c r="H55" s="18">
        <v>16900</v>
      </c>
      <c r="I55" s="18">
        <v>19500</v>
      </c>
      <c r="J55" s="18">
        <v>22100</v>
      </c>
      <c r="K55" s="18">
        <v>24700</v>
      </c>
      <c r="L55" s="18">
        <v>27300</v>
      </c>
      <c r="M55" s="18">
        <v>29900</v>
      </c>
      <c r="N55" s="18">
        <v>32500</v>
      </c>
      <c r="O55" s="18">
        <v>0</v>
      </c>
      <c r="P55" s="18">
        <v>6695</v>
      </c>
      <c r="Q55" s="18">
        <v>9373</v>
      </c>
      <c r="R55" s="18">
        <v>12051</v>
      </c>
      <c r="S55" s="18">
        <v>14729</v>
      </c>
      <c r="T55" s="18">
        <v>17407</v>
      </c>
      <c r="U55" s="18">
        <v>20085</v>
      </c>
      <c r="V55" s="18">
        <v>22763</v>
      </c>
      <c r="W55" s="18">
        <v>25441</v>
      </c>
      <c r="X55" s="18">
        <v>28119</v>
      </c>
      <c r="Y55" s="18">
        <v>30797</v>
      </c>
      <c r="Z55" s="18">
        <v>33475</v>
      </c>
      <c r="AA55" s="18">
        <v>0</v>
      </c>
      <c r="AB55" s="18">
        <v>6895.85</v>
      </c>
      <c r="AC55" s="18">
        <v>9654.19</v>
      </c>
      <c r="AD55" s="18">
        <v>12412.53</v>
      </c>
      <c r="AE55" s="18">
        <v>15170.87</v>
      </c>
      <c r="AF55" s="18">
        <v>17929.21</v>
      </c>
      <c r="AG55" s="18">
        <v>20687.55</v>
      </c>
      <c r="AH55" s="18">
        <v>23445.89</v>
      </c>
      <c r="AI55" s="18">
        <v>26204.23</v>
      </c>
      <c r="AJ55" s="18">
        <v>28962.57</v>
      </c>
    </row>
    <row r="56" spans="1:36" x14ac:dyDescent="0.2">
      <c r="A56" t="s">
        <v>635</v>
      </c>
      <c r="B56" t="s">
        <v>636</v>
      </c>
      <c r="C56" s="18">
        <v>0</v>
      </c>
      <c r="D56" s="18">
        <v>21012.16</v>
      </c>
      <c r="E56" s="18">
        <v>43546.79</v>
      </c>
      <c r="F56" s="18">
        <v>66862.25</v>
      </c>
      <c r="G56" s="18">
        <v>89262.85</v>
      </c>
      <c r="H56" s="18">
        <v>112457.26</v>
      </c>
      <c r="I56" s="18">
        <v>135629.18</v>
      </c>
      <c r="J56" s="18">
        <v>158286.72</v>
      </c>
      <c r="K56" s="18">
        <v>180944.14</v>
      </c>
      <c r="L56" s="18">
        <v>204792.92</v>
      </c>
      <c r="M56" s="18">
        <v>226473.4</v>
      </c>
      <c r="N56" s="18">
        <v>249748.74</v>
      </c>
      <c r="O56" s="18">
        <v>0</v>
      </c>
      <c r="P56" s="18">
        <v>23102.42</v>
      </c>
      <c r="Q56" s="18">
        <v>47214.44</v>
      </c>
      <c r="R56" s="18">
        <v>71966.58</v>
      </c>
      <c r="S56" s="18">
        <v>97001.64</v>
      </c>
      <c r="T56" s="18">
        <v>126550.99</v>
      </c>
      <c r="U56" s="18">
        <v>157493.81</v>
      </c>
      <c r="V56" s="18">
        <v>186433.75</v>
      </c>
      <c r="W56" s="18">
        <v>217271.73</v>
      </c>
      <c r="X56" s="18">
        <v>245805.24</v>
      </c>
      <c r="Y56" s="18">
        <v>274931.21999999997</v>
      </c>
      <c r="Z56" s="18">
        <v>303452.11</v>
      </c>
      <c r="AA56" s="18">
        <v>0</v>
      </c>
      <c r="AB56" s="18">
        <v>29580.02</v>
      </c>
      <c r="AC56" s="18">
        <v>56325.61</v>
      </c>
      <c r="AD56" s="18">
        <v>85313.26</v>
      </c>
      <c r="AE56" s="18">
        <v>116115.36</v>
      </c>
      <c r="AF56" s="18">
        <v>148199.9</v>
      </c>
      <c r="AG56" s="18">
        <v>176702</v>
      </c>
      <c r="AH56" s="18">
        <v>208253.49</v>
      </c>
      <c r="AI56" s="18">
        <v>237848.99</v>
      </c>
      <c r="AJ56" s="18">
        <v>268352.24</v>
      </c>
    </row>
    <row r="57" spans="1:36" x14ac:dyDescent="0.2">
      <c r="A57" t="s">
        <v>637</v>
      </c>
      <c r="B57" t="s">
        <v>638</v>
      </c>
      <c r="C57" s="18">
        <v>0</v>
      </c>
      <c r="D57" s="18">
        <v>2100</v>
      </c>
      <c r="E57" s="18">
        <v>4200</v>
      </c>
      <c r="F57" s="18">
        <v>6300</v>
      </c>
      <c r="G57" s="18">
        <v>8400</v>
      </c>
      <c r="H57" s="18">
        <v>10500</v>
      </c>
      <c r="I57" s="18">
        <v>12600</v>
      </c>
      <c r="J57" s="18">
        <v>14700</v>
      </c>
      <c r="K57" s="18">
        <v>16800</v>
      </c>
      <c r="L57" s="18">
        <v>18900</v>
      </c>
      <c r="M57" s="18">
        <v>21000</v>
      </c>
      <c r="N57" s="18">
        <v>23100</v>
      </c>
      <c r="O57" s="18">
        <v>0</v>
      </c>
      <c r="P57" s="18">
        <v>2163</v>
      </c>
      <c r="Q57" s="18">
        <v>4326</v>
      </c>
      <c r="R57" s="18">
        <v>6489</v>
      </c>
      <c r="S57" s="18">
        <v>8652</v>
      </c>
      <c r="T57" s="18">
        <v>15141</v>
      </c>
      <c r="U57" s="18">
        <v>21630</v>
      </c>
      <c r="V57" s="18">
        <v>28119</v>
      </c>
      <c r="W57" s="18">
        <v>34608</v>
      </c>
      <c r="X57" s="18">
        <v>41097</v>
      </c>
      <c r="Y57" s="18">
        <v>47586</v>
      </c>
      <c r="Z57" s="18">
        <v>54075</v>
      </c>
      <c r="AA57" s="18">
        <v>0</v>
      </c>
      <c r="AB57" s="18">
        <v>6683.67</v>
      </c>
      <c r="AC57" s="18">
        <v>13367.34</v>
      </c>
      <c r="AD57" s="18">
        <v>20051.009999999998</v>
      </c>
      <c r="AE57" s="18">
        <v>26734.68</v>
      </c>
      <c r="AF57" s="18">
        <v>33418.35</v>
      </c>
      <c r="AG57" s="18">
        <v>40102.019999999997</v>
      </c>
      <c r="AH57" s="18">
        <v>46785.69</v>
      </c>
      <c r="AI57" s="18">
        <v>53469.36</v>
      </c>
      <c r="AJ57" s="18">
        <v>60153.03</v>
      </c>
    </row>
    <row r="58" spans="1:36" x14ac:dyDescent="0.2">
      <c r="A58" t="s">
        <v>639</v>
      </c>
      <c r="B58" t="s">
        <v>640</v>
      </c>
      <c r="C58" s="18">
        <v>0</v>
      </c>
      <c r="D58" s="18">
        <v>3268.59</v>
      </c>
      <c r="E58" s="18">
        <v>6361.53</v>
      </c>
      <c r="F58" s="18">
        <v>9209.42</v>
      </c>
      <c r="G58" s="18">
        <v>12360.09</v>
      </c>
      <c r="H58" s="18">
        <v>15422.93</v>
      </c>
      <c r="I58" s="18">
        <v>18820.990000000002</v>
      </c>
      <c r="J58" s="18">
        <v>21704.19</v>
      </c>
      <c r="K58" s="18">
        <v>24786.38</v>
      </c>
      <c r="L58" s="18">
        <v>28029.119999999999</v>
      </c>
      <c r="M58" s="18">
        <v>31522.32</v>
      </c>
      <c r="N58" s="18">
        <v>34644.839999999997</v>
      </c>
      <c r="O58" s="18">
        <v>0</v>
      </c>
      <c r="P58" s="18">
        <v>3534.08</v>
      </c>
      <c r="Q58" s="18">
        <v>6897.95</v>
      </c>
      <c r="R58" s="18">
        <v>10414.56</v>
      </c>
      <c r="S58" s="18">
        <v>13772.88</v>
      </c>
      <c r="T58" s="18">
        <v>18080.43</v>
      </c>
      <c r="U58" s="18">
        <v>21956.01</v>
      </c>
      <c r="V58" s="18">
        <v>26032.09</v>
      </c>
      <c r="W58" s="18">
        <v>30078.49</v>
      </c>
      <c r="X58" s="18">
        <v>34271.730000000003</v>
      </c>
      <c r="Y58" s="18">
        <v>38603.660000000003</v>
      </c>
      <c r="Z58" s="18">
        <v>42682.61</v>
      </c>
      <c r="AA58" s="18">
        <v>0</v>
      </c>
      <c r="AB58" s="18">
        <v>4406.9399999999996</v>
      </c>
      <c r="AC58" s="18">
        <v>8785.0400000000009</v>
      </c>
      <c r="AD58" s="18">
        <v>13327.84</v>
      </c>
      <c r="AE58" s="18">
        <v>17524.28</v>
      </c>
      <c r="AF58" s="18">
        <v>21419.23</v>
      </c>
      <c r="AG58" s="18">
        <v>25516.67</v>
      </c>
      <c r="AH58" s="18">
        <v>29809.05</v>
      </c>
      <c r="AI58" s="18">
        <v>34041.519999999997</v>
      </c>
      <c r="AJ58" s="18">
        <v>38615.69</v>
      </c>
    </row>
    <row r="59" spans="1:36" x14ac:dyDescent="0.2">
      <c r="A59" t="s">
        <v>641</v>
      </c>
      <c r="B59" t="s">
        <v>642</v>
      </c>
      <c r="C59" s="18">
        <v>0</v>
      </c>
      <c r="D59" s="18">
        <v>5429.68</v>
      </c>
      <c r="E59" s="18">
        <v>10414.469999999999</v>
      </c>
      <c r="F59" s="18">
        <v>15086.77</v>
      </c>
      <c r="G59" s="18">
        <v>21554.639999999999</v>
      </c>
      <c r="H59" s="18">
        <v>28269.05</v>
      </c>
      <c r="I59" s="18">
        <v>32705.759999999998</v>
      </c>
      <c r="J59" s="18">
        <v>37060.879999999997</v>
      </c>
      <c r="K59" s="18">
        <v>41964.81</v>
      </c>
      <c r="L59" s="18">
        <v>46605.36</v>
      </c>
      <c r="M59" s="18">
        <v>53883.42</v>
      </c>
      <c r="N59" s="18">
        <v>61330.14</v>
      </c>
      <c r="O59" s="18">
        <v>0</v>
      </c>
      <c r="P59" s="18">
        <v>4856.55</v>
      </c>
      <c r="Q59" s="18">
        <v>10274.32</v>
      </c>
      <c r="R59" s="18">
        <v>15725.35</v>
      </c>
      <c r="S59" s="18">
        <v>22035.68</v>
      </c>
      <c r="T59" s="18">
        <v>29663.45</v>
      </c>
      <c r="U59" s="18">
        <v>35888.22</v>
      </c>
      <c r="V59" s="18">
        <v>41861.18</v>
      </c>
      <c r="W59" s="18">
        <v>48705.22</v>
      </c>
      <c r="X59" s="18">
        <v>54976.53</v>
      </c>
      <c r="Y59" s="18">
        <v>63561.16</v>
      </c>
      <c r="Z59" s="18">
        <v>73018.58</v>
      </c>
      <c r="AA59" s="18">
        <v>0</v>
      </c>
      <c r="AB59" s="18">
        <v>7775.78</v>
      </c>
      <c r="AC59" s="18">
        <v>15075.88</v>
      </c>
      <c r="AD59" s="18">
        <v>23680.37</v>
      </c>
      <c r="AE59" s="18">
        <v>34694.879999999997</v>
      </c>
      <c r="AF59" s="18">
        <v>44591.94</v>
      </c>
      <c r="AG59" s="18">
        <v>53958.31</v>
      </c>
      <c r="AH59" s="18">
        <v>61258.01</v>
      </c>
      <c r="AI59" s="18">
        <v>69463.399999999994</v>
      </c>
      <c r="AJ59" s="18">
        <v>78275.22</v>
      </c>
    </row>
    <row r="60" spans="1:36" x14ac:dyDescent="0.2">
      <c r="A60" t="s">
        <v>643</v>
      </c>
      <c r="B60" t="s">
        <v>267</v>
      </c>
      <c r="C60" s="18">
        <v>0</v>
      </c>
      <c r="D60" s="18">
        <v>15625</v>
      </c>
      <c r="E60" s="18">
        <v>31250</v>
      </c>
      <c r="F60" s="18">
        <v>46875</v>
      </c>
      <c r="G60" s="18">
        <v>62500</v>
      </c>
      <c r="H60" s="18">
        <v>78125</v>
      </c>
      <c r="I60" s="18">
        <v>93750</v>
      </c>
      <c r="J60" s="18">
        <v>109375</v>
      </c>
      <c r="K60" s="18">
        <v>125000</v>
      </c>
      <c r="L60" s="18">
        <v>140625</v>
      </c>
      <c r="M60" s="18">
        <v>157383.32999999999</v>
      </c>
      <c r="N60" s="18">
        <v>174141.66</v>
      </c>
      <c r="O60" s="18">
        <v>0</v>
      </c>
      <c r="P60" s="18">
        <v>16758.330000000002</v>
      </c>
      <c r="Q60" s="18">
        <v>33516.660000000003</v>
      </c>
      <c r="R60" s="18">
        <v>50274.99</v>
      </c>
      <c r="S60" s="18">
        <v>70449.990000000005</v>
      </c>
      <c r="T60" s="18">
        <v>93466.66</v>
      </c>
      <c r="U60" s="18">
        <v>116483.33</v>
      </c>
      <c r="V60" s="18">
        <v>139500</v>
      </c>
      <c r="W60" s="18">
        <v>162516.67000000001</v>
      </c>
      <c r="X60" s="18">
        <v>185533.34</v>
      </c>
      <c r="Y60" s="18">
        <v>207550.01</v>
      </c>
      <c r="Z60" s="18">
        <v>229566.68</v>
      </c>
      <c r="AA60" s="18">
        <v>0</v>
      </c>
      <c r="AB60" s="18">
        <v>22016.67</v>
      </c>
      <c r="AC60" s="18">
        <v>44033.34</v>
      </c>
      <c r="AD60" s="18">
        <v>66487.509999999995</v>
      </c>
      <c r="AE60" s="18">
        <v>88941.68</v>
      </c>
      <c r="AF60" s="18">
        <v>111395.85</v>
      </c>
      <c r="AG60" s="18">
        <v>134641.69</v>
      </c>
      <c r="AH60" s="18">
        <v>157887.53</v>
      </c>
      <c r="AI60" s="18">
        <v>181133.37</v>
      </c>
      <c r="AJ60" s="18">
        <v>204379.21</v>
      </c>
    </row>
    <row r="61" spans="1:36" x14ac:dyDescent="0.2">
      <c r="A61" t="s">
        <v>644</v>
      </c>
      <c r="B61" t="s">
        <v>645</v>
      </c>
      <c r="C61" s="18">
        <v>0</v>
      </c>
      <c r="D61" s="18">
        <v>3220</v>
      </c>
      <c r="E61" s="18">
        <v>6372.92</v>
      </c>
      <c r="F61" s="18">
        <v>9458.75</v>
      </c>
      <c r="G61" s="18">
        <v>12477.5</v>
      </c>
      <c r="H61" s="18">
        <v>15429.17</v>
      </c>
      <c r="I61" s="18">
        <v>18235.37</v>
      </c>
      <c r="J61" s="18">
        <v>20899.75</v>
      </c>
      <c r="K61" s="18">
        <v>23500.69</v>
      </c>
      <c r="L61" s="18">
        <v>25965.27</v>
      </c>
      <c r="M61" s="18">
        <v>28226.05</v>
      </c>
      <c r="N61" s="18">
        <v>30428.86</v>
      </c>
      <c r="O61" s="18">
        <v>0</v>
      </c>
      <c r="P61" s="18">
        <v>1890</v>
      </c>
      <c r="Q61" s="18">
        <v>3727.5</v>
      </c>
      <c r="R61" s="18">
        <v>8150.52</v>
      </c>
      <c r="S61" s="18">
        <v>12522.86</v>
      </c>
      <c r="T61" s="18">
        <v>16799.53</v>
      </c>
      <c r="U61" s="18">
        <v>20980.52</v>
      </c>
      <c r="V61" s="18">
        <v>25065.83</v>
      </c>
      <c r="W61" s="18">
        <v>29055.47</v>
      </c>
      <c r="X61" s="18">
        <v>32812.449999999997</v>
      </c>
      <c r="Y61" s="18">
        <v>36343.54</v>
      </c>
      <c r="Z61" s="18">
        <v>39785.730000000003</v>
      </c>
      <c r="AA61" s="18">
        <v>0</v>
      </c>
      <c r="AB61" s="18">
        <v>3264.38</v>
      </c>
      <c r="AC61" s="18">
        <v>6439.85</v>
      </c>
      <c r="AD61" s="18">
        <v>9526.42</v>
      </c>
      <c r="AE61" s="18">
        <v>12524.08</v>
      </c>
      <c r="AF61" s="18">
        <v>15432.84</v>
      </c>
      <c r="AG61" s="18">
        <v>18252.68</v>
      </c>
      <c r="AH61" s="18">
        <v>20983.62</v>
      </c>
      <c r="AI61" s="18">
        <v>23625.65</v>
      </c>
      <c r="AJ61" s="18">
        <v>26178.78</v>
      </c>
    </row>
    <row r="62" spans="1:36" x14ac:dyDescent="0.2">
      <c r="A62" t="s">
        <v>646</v>
      </c>
      <c r="B62" t="s">
        <v>647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</row>
    <row r="63" spans="1:36" x14ac:dyDescent="0.2">
      <c r="A63" t="s">
        <v>648</v>
      </c>
      <c r="B63" t="s">
        <v>649</v>
      </c>
      <c r="C63" s="18">
        <v>0</v>
      </c>
      <c r="D63" s="18">
        <v>37.5</v>
      </c>
      <c r="E63" s="18">
        <v>10327.36</v>
      </c>
      <c r="F63" s="18">
        <v>13492.24</v>
      </c>
      <c r="G63" s="18">
        <v>25392.799999999999</v>
      </c>
      <c r="H63" s="18">
        <v>39528.33</v>
      </c>
      <c r="I63" s="18">
        <v>35519.03</v>
      </c>
      <c r="J63" s="18">
        <v>28505.11</v>
      </c>
      <c r="K63" s="18">
        <v>27509.21</v>
      </c>
      <c r="L63" s="18">
        <v>34835.300000000003</v>
      </c>
      <c r="M63" s="18">
        <v>46051.33</v>
      </c>
      <c r="N63" s="18">
        <v>62574.82</v>
      </c>
      <c r="O63" s="18">
        <v>0</v>
      </c>
      <c r="P63" s="18">
        <v>7111.58</v>
      </c>
      <c r="Q63" s="18">
        <v>11044.09</v>
      </c>
      <c r="R63" s="18">
        <v>15189</v>
      </c>
      <c r="S63" s="18">
        <v>7096.75</v>
      </c>
      <c r="T63" s="18">
        <v>8469.91</v>
      </c>
      <c r="U63" s="18">
        <v>1759.47</v>
      </c>
      <c r="V63" s="18">
        <v>0</v>
      </c>
      <c r="W63" s="18">
        <v>4784.26</v>
      </c>
      <c r="X63" s="18">
        <v>5039.2</v>
      </c>
      <c r="Y63" s="18">
        <v>13708.11</v>
      </c>
      <c r="Z63" s="18">
        <v>18526.95</v>
      </c>
      <c r="AA63" s="18">
        <v>0</v>
      </c>
      <c r="AB63" s="18">
        <v>20304.98</v>
      </c>
      <c r="AC63" s="18">
        <v>24734.66</v>
      </c>
      <c r="AD63" s="18">
        <v>33959.32</v>
      </c>
      <c r="AE63" s="18">
        <v>54869.25</v>
      </c>
      <c r="AF63" s="18">
        <v>77531.86</v>
      </c>
      <c r="AG63" s="18">
        <v>91775.97</v>
      </c>
      <c r="AH63" s="18">
        <v>105057.26</v>
      </c>
      <c r="AI63" s="18">
        <v>122583.22</v>
      </c>
      <c r="AJ63" s="18">
        <v>134250.03</v>
      </c>
    </row>
    <row r="64" spans="1:36" x14ac:dyDescent="0.2">
      <c r="A64" s="16"/>
      <c r="B64" s="16" t="s">
        <v>650</v>
      </c>
      <c r="C64" s="19">
        <f t="shared" ref="C64:AJ64" si="0">ROUND(SUM(C6:C63),2)</f>
        <v>0</v>
      </c>
      <c r="D64" s="19">
        <f t="shared" si="0"/>
        <v>0</v>
      </c>
      <c r="E64" s="19">
        <f t="shared" si="0"/>
        <v>0</v>
      </c>
      <c r="F64" s="19">
        <f t="shared" si="0"/>
        <v>0</v>
      </c>
      <c r="G64" s="19">
        <f t="shared" si="0"/>
        <v>0</v>
      </c>
      <c r="H64" s="19">
        <f t="shared" si="0"/>
        <v>0</v>
      </c>
      <c r="I64" s="19">
        <f t="shared" si="0"/>
        <v>0</v>
      </c>
      <c r="J64" s="19">
        <f t="shared" si="0"/>
        <v>0</v>
      </c>
      <c r="K64" s="19">
        <f t="shared" si="0"/>
        <v>0</v>
      </c>
      <c r="L64" s="19">
        <f t="shared" si="0"/>
        <v>0</v>
      </c>
      <c r="M64" s="19">
        <f t="shared" si="0"/>
        <v>0</v>
      </c>
      <c r="N64" s="19">
        <f t="shared" si="0"/>
        <v>0</v>
      </c>
      <c r="O64" s="19">
        <f t="shared" si="0"/>
        <v>0</v>
      </c>
      <c r="P64" s="19">
        <f t="shared" si="0"/>
        <v>0</v>
      </c>
      <c r="Q64" s="19">
        <f t="shared" si="0"/>
        <v>0</v>
      </c>
      <c r="R64" s="19">
        <f t="shared" si="0"/>
        <v>0</v>
      </c>
      <c r="S64" s="19">
        <f t="shared" si="0"/>
        <v>0</v>
      </c>
      <c r="T64" s="19">
        <f t="shared" si="0"/>
        <v>0</v>
      </c>
      <c r="U64" s="19">
        <f t="shared" si="0"/>
        <v>0</v>
      </c>
      <c r="V64" s="19">
        <f t="shared" si="0"/>
        <v>0</v>
      </c>
      <c r="W64" s="19">
        <f t="shared" si="0"/>
        <v>0</v>
      </c>
      <c r="X64" s="19">
        <f t="shared" si="0"/>
        <v>0</v>
      </c>
      <c r="Y64" s="19">
        <f t="shared" si="0"/>
        <v>0</v>
      </c>
      <c r="Z64" s="19">
        <f t="shared" si="0"/>
        <v>0</v>
      </c>
      <c r="AA64" s="19">
        <f t="shared" si="0"/>
        <v>0</v>
      </c>
      <c r="AB64" s="19">
        <f t="shared" si="0"/>
        <v>0</v>
      </c>
      <c r="AC64" s="19">
        <f t="shared" si="0"/>
        <v>0</v>
      </c>
      <c r="AD64" s="19">
        <f t="shared" si="0"/>
        <v>0</v>
      </c>
      <c r="AE64" s="19">
        <f t="shared" si="0"/>
        <v>0</v>
      </c>
      <c r="AF64" s="19">
        <f t="shared" si="0"/>
        <v>0</v>
      </c>
      <c r="AG64" s="19">
        <f t="shared" si="0"/>
        <v>0</v>
      </c>
      <c r="AH64" s="19">
        <f t="shared" si="0"/>
        <v>0</v>
      </c>
      <c r="AI64" s="19">
        <f t="shared" si="0"/>
        <v>0</v>
      </c>
      <c r="AJ64" s="19">
        <f t="shared" si="0"/>
        <v>0</v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Assumptions</vt:lpstr>
      <vt:lpstr>Drivers</vt:lpstr>
      <vt:lpstr>Forecast</vt:lpstr>
      <vt:lpstr>Scenario_Results</vt:lpstr>
      <vt:lpstr>Checks</vt:lpstr>
      <vt:lpstr>Hist_IS</vt:lpstr>
      <vt:lpstr>Hist_BS</vt:lpstr>
      <vt:lpstr>Hist_CF</vt:lpstr>
      <vt:lpstr>Hist_Balances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M</cp:lastModifiedBy>
  <dcterms:created xsi:type="dcterms:W3CDTF">2026-10-10T02:58:36Z</dcterms:created>
  <dcterms:modified xsi:type="dcterms:W3CDTF">2026-10-10T02:58:41Z</dcterms:modified>
</cp:coreProperties>
</file>